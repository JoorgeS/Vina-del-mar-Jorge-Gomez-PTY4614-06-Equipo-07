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4"/>
    <sheet state="visible" name="Información del Documento" sheetId="2" r:id="rId5"/>
    <sheet state="visible" name="Registro de Riesgos" sheetId="3" r:id="rId6"/>
    <sheet state="hidden" name="Matriz" sheetId="4" r:id="rId7"/>
    <sheet state="visible" name="Matriz Impacto y Probabilidad" sheetId="5" r:id="rId8"/>
  </sheets>
  <externalReferences>
    <externalReference r:id="rId9"/>
    <externalReference r:id="rId10"/>
    <externalReference r:id="rId11"/>
    <externalReference r:id="rId12"/>
  </externalReferences>
  <definedNames>
    <definedName name="FechaControl">'[1]Tabla (H)'!$P$6:$P$25</definedName>
    <definedName name="ImpactoRiesgo">'Información'!$I$9:$K$9</definedName>
    <definedName name="ListaFechas">#REF!</definedName>
    <definedName name="ProbabilidadRiesgo">'Información'!$H$6:$H$8</definedName>
    <definedName name="EstadoRiesgos">'Información'!$B$18:$B$21</definedName>
    <definedName name="Criticidad">'Información'!$B$4:$B$6</definedName>
    <definedName localSheetId="3" name="ListaFechas">#REF!</definedName>
    <definedName name="PrioridadRiesgo">'Información'!$H$6:$H$8</definedName>
    <definedName name="Estado">'Información'!$B$9:$B$12</definedName>
    <definedName name="MatrizRiesgo">'Información'!$I$6:$K$8</definedName>
  </definedNames>
  <calcPr/>
  <extLst>
    <ext uri="GoogleSheetsCustomDataVersion2">
      <go:sheetsCustomData xmlns:go="http://customooxmlschemas.google.com/" r:id="rId13" roundtripDataChecksum="3CeARNl/z1G96X2t5YqCVC4Qzz8y0jv1sAGpsgvkexk="/>
    </ext>
  </extLst>
</workbook>
</file>

<file path=xl/sharedStrings.xml><?xml version="1.0" encoding="utf-8"?>
<sst xmlns="http://schemas.openxmlformats.org/spreadsheetml/2006/main" count="916" uniqueCount="372">
  <si>
    <t>Ejemplo</t>
  </si>
  <si>
    <t>Tabla de Criticidad</t>
  </si>
  <si>
    <t>Se ve con una lista (ProbabilidadRiesgo)</t>
  </si>
  <si>
    <t>Se ve con una lista (ImpactoRiesgo)</t>
  </si>
  <si>
    <t>Alto</t>
  </si>
  <si>
    <t>Matriz de Riesgos  - Criticidad</t>
  </si>
  <si>
    <t>Criticidad</t>
  </si>
  <si>
    <t>Probabilidad</t>
  </si>
  <si>
    <t>Impacto</t>
  </si>
  <si>
    <t>Medio</t>
  </si>
  <si>
    <t>Alta</t>
  </si>
  <si>
    <t>Bajo</t>
  </si>
  <si>
    <t>Media</t>
  </si>
  <si>
    <t>Baja</t>
  </si>
  <si>
    <t>Estado</t>
  </si>
  <si>
    <t>Abierto</t>
  </si>
  <si>
    <t>Cerrado</t>
  </si>
  <si>
    <t>Eliminado</t>
  </si>
  <si>
    <t>Problema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</si>
  <si>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</si>
  <si>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</si>
  <si>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</si>
  <si>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</si>
  <si>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</si>
  <si>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</si>
  <si>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</si>
  <si>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</si>
  <si>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</si>
  <si>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Pendiente</t>
  </si>
  <si>
    <t>Baja prioridad y monitorear Riesgo</t>
  </si>
  <si>
    <t xml:space="preserve">Información del documento </t>
  </si>
  <si>
    <t>Registro y análisis de riesgos potenciales para la Plataforma CORE Valparaíso, incluyendo impacto, probabilidad y plan de respuesta para garantizar el cumplimiento del Product Goal en 6 Sprints.</t>
  </si>
  <si>
    <t>Nombre Archivo</t>
  </si>
  <si>
    <t>Registro de Riesgos Proyecto.xlsx</t>
  </si>
  <si>
    <t xml:space="preserve">        </t>
  </si>
  <si>
    <t>Historial Estructura Documento</t>
  </si>
  <si>
    <t>Fecha</t>
  </si>
  <si>
    <t>Autor / Responsable</t>
  </si>
  <si>
    <t>Versión</t>
  </si>
  <si>
    <t>Descripción</t>
  </si>
  <si>
    <t>Gestión de Proyectos y Calidad</t>
  </si>
  <si>
    <t>1.0</t>
  </si>
  <si>
    <t>Se comienza a trabajar en el documento</t>
  </si>
  <si>
    <t>Historial Contenido Documento y Bitácora</t>
  </si>
  <si>
    <t>Pedro Pablo Vergara Gonzalez</t>
  </si>
  <si>
    <t>Se termina de registrar los riesgos</t>
  </si>
  <si>
    <t>Jorge Erasmo Sepúlveda Farias</t>
  </si>
  <si>
    <t>Se comienza con la matriz de impacto</t>
  </si>
  <si>
    <t>Génesis Paulina Contreras Vargas</t>
  </si>
  <si>
    <t>Se termina con la matriz de impacto y probabilidad</t>
  </si>
  <si>
    <t>Se corrigen detalles de la matriz</t>
  </si>
  <si>
    <t>Registro de Riesgos</t>
  </si>
  <si>
    <t>ID</t>
  </si>
  <si>
    <t>Fecha Creación</t>
  </si>
  <si>
    <t>Tipo</t>
  </si>
  <si>
    <t>Riesgo (Evento)</t>
  </si>
  <si>
    <t>Causa</t>
  </si>
  <si>
    <t>Efecto</t>
  </si>
  <si>
    <t>Probabilidad Ocurrencia</t>
  </si>
  <si>
    <t>Respuesta (Evitar, Transferir, Mitigar)</t>
  </si>
  <si>
    <t>Responsable</t>
  </si>
  <si>
    <t>Fecha de Compromiso</t>
  </si>
  <si>
    <t>Comentarios</t>
  </si>
  <si>
    <t>Calendario</t>
  </si>
  <si>
    <t>Retraso en el inicio del proyecto por falta de alineación del equipo.</t>
  </si>
  <si>
    <t>No se definieron claramente las tareas iniciales y responsabilidades.</t>
  </si>
  <si>
    <t>Plazo</t>
  </si>
  <si>
    <t>Mitigar: Reunión de kickoff con definición de roles y objetivos claros.</t>
  </si>
  <si>
    <t>Scrum Master</t>
  </si>
  <si>
    <t>Reunión inicial agendada para alinear tareas.</t>
  </si>
  <si>
    <t>Requisitos</t>
  </si>
  <si>
    <t>Requerimientos incompletos entregados por el cliente.</t>
  </si>
  <si>
    <t>Falta de reuniones de levantamiento con los usuarios finales.</t>
  </si>
  <si>
    <t>Alcance</t>
  </si>
  <si>
    <t>Evitar: Validar requerimientos mediante minutas de comisión y aprobaciones formales.</t>
  </si>
  <si>
    <t>Product Owner</t>
  </si>
  <si>
    <t>Reuniones adicionales programadas para clarificar requerimientos.</t>
  </si>
  <si>
    <t>Tecnico</t>
  </si>
  <si>
    <t>Fallo en la conexión entre el backend  y la base de datos MariaDB.</t>
  </si>
  <si>
    <t>Configuración incorrecta del archivo .env o credenciales desactualizadas.</t>
  </si>
  <si>
    <t>Calidad</t>
  </si>
  <si>
    <t>Mitigar: Crear checklist de conexión y revisar variables de entorno antes de cada despliegue.</t>
  </si>
  <si>
    <t>Configuración ajustada para entorno estable.</t>
  </si>
  <si>
    <t>Seguridad</t>
  </si>
  <si>
    <t>Acceso no autorizado al panel de administración.</t>
  </si>
  <si>
    <t>Falta de validación de roles y permisos en el sistema.</t>
  </si>
  <si>
    <t>Mitigar: Definir vistas por roles en la plataforma.</t>
  </si>
  <si>
    <t>Equipo de Desarrollo</t>
  </si>
  <si>
    <t>Se revisan roles y permisos en validación.</t>
  </si>
  <si>
    <t>Comunicacion</t>
  </si>
  <si>
    <t>Información inconsistente entre miembros del equipo.</t>
  </si>
  <si>
    <t>Falta de registro de acuerdos en minutas.</t>
  </si>
  <si>
    <t>Mitigar: Establecer canal oficial de comunicación y revisar minutas en cada reunión semanal.</t>
  </si>
  <si>
    <t>Se documentan minutas y avances en comiciones.</t>
  </si>
  <si>
    <t>Entregable intermedio sin cumplir los criterios de aceptación.</t>
  </si>
  <si>
    <t>Revisión superficial de funcionalidades antes de presentar avances.</t>
  </si>
  <si>
    <t>Mitigar: Crear checklist de validación previa a cada revisión de sprint.</t>
  </si>
  <si>
    <t>Se documentan acuerdos y avances en minutas.</t>
  </si>
  <si>
    <t>Alcanse</t>
  </si>
  <si>
    <t>Solicitud de nuevas funcionalidades fuera del backlog aprobado.</t>
  </si>
  <si>
    <t>Cambios de prioridades del cliente sin control de alcance.</t>
  </si>
  <si>
    <t>Evitar: Formalizar control de cambios y documentar ajustes con firma del cliente.</t>
  </si>
  <si>
    <t>Se ajustan prioridades del backlog según impacto.</t>
  </si>
  <si>
    <t>Infraestructura</t>
  </si>
  <si>
    <t>Caída del servidor local durante pruebas internas.</t>
  </si>
  <si>
    <t>Falta de mantenimiento o capacidad insuficiente del servidor.</t>
  </si>
  <si>
    <t>Transferir: Migrar pruebas a entorno en la nube con backup automático.</t>
  </si>
  <si>
    <t>Equipo de desarrollo</t>
  </si>
  <si>
    <t>Se programó para  un facil mantenimiento.</t>
  </si>
  <si>
    <t>Gestion</t>
  </si>
  <si>
    <t>Desviación del cronograma de la Carta Gantt.</t>
  </si>
  <si>
    <t>Mala estimación del esfuerzo en tareas críticas.</t>
  </si>
  <si>
    <t>Mitigar: Replanificar actividades con base en la velocidad real del equipo.</t>
  </si>
  <si>
    <t>Seguimiento activo del cronograma y recursos.</t>
  </si>
  <si>
    <t>Fallo en el despliegue de la aplicación en el servidor de pruebas.</t>
  </si>
  <si>
    <t>Configuración incorrecta del entorno o dependencias faltantes.</t>
  </si>
  <si>
    <t>Mitigar: Automatizar despliegues con scripts validados y verificación de dependencias.</t>
  </si>
  <si>
    <t>Configuración ajustada para entorno estable mediante GitHub.</t>
  </si>
  <si>
    <t>Historias de usuario con criterios de aceptación ambiguos.</t>
  </si>
  <si>
    <t>Falta de revisión conjunta entre el equipo y el cliente.</t>
  </si>
  <si>
    <t>Evitar: Validar criterios de aceptación en reuniones de refinamiento.</t>
  </si>
  <si>
    <t>Levantamiento adicional en curso con usuarios.</t>
  </si>
  <si>
    <t>Sobrecarga de tareas en un sprint por mala estimación de esfuerzo.</t>
  </si>
  <si>
    <t>Falta de experiencia previa en proyectos similares.</t>
  </si>
  <si>
    <t>Mitigar: Revisar la capacidad del equipo antes de planificar cada sprint.</t>
  </si>
  <si>
    <t>Es nesesario el apoyo de informaticos del core para obtener un servidor de pruebas.</t>
  </si>
  <si>
    <t>Contraseñas almacenadas en texto plano en la base de datos.</t>
  </si>
  <si>
    <t>Falta de cifrado en el módulo de autenticación.</t>
  </si>
  <si>
    <t>Mitigar: Implementar hash seguro.</t>
  </si>
  <si>
    <t>MFA implementada y revisión de permisos en curso.</t>
  </si>
  <si>
    <t>Integracion</t>
  </si>
  <si>
    <t>Incompatibilidad entre versiones de librerías.</t>
  </si>
  <si>
    <t>Actualizaciones sin revisión de impacto.</t>
  </si>
  <si>
    <t>Muy Alto</t>
  </si>
  <si>
    <t xml:space="preserve"> Mitigar: Documentar dependencias y usar control de versiones en composer.json.</t>
  </si>
  <si>
    <t>Actualizaciones planificadas con control de versiones.</t>
  </si>
  <si>
    <t>Fallo de conexión al servidor por saturación de red.</t>
  </si>
  <si>
    <t>Pruebas concurrentes sin planificación de carga.</t>
  </si>
  <si>
    <t>Transferir: Aumentar recursos de red y programar pruebas fuera de horario laboral.</t>
  </si>
  <si>
    <t>Ejecución de pruebas técnicas en seguimiento.</t>
  </si>
  <si>
    <t>Duplicación de tareas por falta de sincronización entre miembros.</t>
  </si>
  <si>
    <t>Falta de canales de comunicación y división de tareas.</t>
  </si>
  <si>
    <t>Mitigar: Crear planilla en conjunto con las tareas designadas a cada miembro del equipo.</t>
  </si>
  <si>
    <t>Se reforzó comunicación diaria entre  el equipos.</t>
  </si>
  <si>
    <t>El cliente solicita rediseñar la interfaz sin justificar necesidad.</t>
  </si>
  <si>
    <t>Cambios estéticos no incluidos en el backlog original.</t>
  </si>
  <si>
    <t>Evitar: Solicitar minuta de aprobación previa para modificaciones visuales.</t>
  </si>
  <si>
    <t>Riesgo en seguimiento con responsable asignado.</t>
  </si>
  <si>
    <t>Errores al exportar reportes desde la base de datos.</t>
  </si>
  <si>
    <t>Consultas SQL ineficientes o sin optimización.</t>
  </si>
  <si>
    <t>Mitigar: Optimizar consultas y validar tiempos de respuesta en pruebas de carga.</t>
  </si>
  <si>
    <t>Pruebas técnicas programadas.</t>
  </si>
  <si>
    <t>Dificultad para cumplir con los hitos intermedios.</t>
  </si>
  <si>
    <t>Planificación sin considerar tiempos de revisión del cliente.</t>
  </si>
  <si>
    <t>Mitigar: Ajustar cronograma incorporando margen de validación.</t>
  </si>
  <si>
    <t>Omisión de funcionalidades críticas en el backlog.</t>
  </si>
  <si>
    <t>Falta de validación cruzada entre historias de usuario y objetivos.</t>
  </si>
  <si>
    <t>Evitar: Mantener trazabilidad entre HU y entregables.</t>
  </si>
  <si>
    <t>Caída del módulo de login tras actualización de librerías.</t>
  </si>
  <si>
    <t>Dependencias incompatibles en el entorno de producción.</t>
  </si>
  <si>
    <t>Mitigar: Probar actualizaciones en entorno de prueba del  GORE antes del despliegue.</t>
  </si>
  <si>
    <t>Se prueba en un servidor interno de pruebas antes de ser enviado al Productivo.</t>
  </si>
  <si>
    <t>Acceso simultáneo con credenciales duplicadas.</t>
  </si>
  <si>
    <t>Sesión no invalidada correctamente al cerrar sesión.</t>
  </si>
  <si>
    <t>Mitigar: Implementar tokens únicos y políticas de expiración de sesión.</t>
  </si>
  <si>
    <t>Pruebas técnicas programadas .para funcionalides.</t>
  </si>
  <si>
    <t>Errores visuales en computadores.</t>
  </si>
  <si>
    <t>Diseño sin pruebas responsivas ni validación de CSS.</t>
  </si>
  <si>
    <t>Mitigar: Realizar pruebas de Diseño Adaptable.</t>
  </si>
  <si>
    <t>Implementacion Responsive para computadores.</t>
  </si>
  <si>
    <t>Falta de respuesta oportuna del cliente a solicitudes técnicas.</t>
  </si>
  <si>
    <t>Demora en correos o canales de comunicación institucional.</t>
  </si>
  <si>
    <t xml:space="preserve">Mitigar: Establecer acuerdos de nivel de servicio de comunicación (SLA).
</t>
  </si>
  <si>
    <t>Pruebas de comunicacion via email.</t>
  </si>
  <si>
    <t>Espacio insuficiente en el servidor de base de datos.</t>
  </si>
  <si>
    <t>No se definió política de limpieza o archivado.</t>
  </si>
  <si>
    <t xml:space="preserve">Mitigar: Implementar mantenimiento automatizado y alertas de espacio.
</t>
  </si>
  <si>
    <t>Nesesario para un mejor mantenimiento.</t>
  </si>
  <si>
    <t xml:space="preserve"> Error en la API de carga de archivos del módulo documental servidor local durante pruebas internas.</t>
  </si>
  <si>
    <t>Tamaño de archivos excede el límite configurado en el servidor.</t>
  </si>
  <si>
    <t xml:space="preserve">Mitigar: Ajustar configuración de tamaño máximo y validar antes del upload.
</t>
  </si>
  <si>
    <t>Para evitar fallas es nesesario realizar mantenimiento.</t>
  </si>
  <si>
    <t>Cambios de prioridad en medio del sprint.</t>
  </si>
  <si>
    <t>Solicitudes del cliente durante la ejecución sin replanificación.</t>
  </si>
  <si>
    <t xml:space="preserve">Evitar: Rechazar cambios hasta la siguiente iteración documentada.
</t>
  </si>
  <si>
    <t xml:space="preserve"> Si la solicitud esta  fuera de plazo deajrlo para la sigiente iteracion.</t>
  </si>
  <si>
    <t>Módulo de votaciones presenta errores en conteo de resultados.</t>
  </si>
  <si>
    <t>Lógica incorrecta en consultas SQL con agrupamientos.</t>
  </si>
  <si>
    <t>Mitigar: Revisar consultas y aplicar pruebas con datos reales.</t>
  </si>
  <si>
    <t>Revisión de lógica SQL en curso. Pendiente ejecutar pruebas con escenarios complejos.</t>
  </si>
  <si>
    <t>Retraso en aprobación de entregables por parte del cliente.</t>
  </si>
  <si>
    <t>Sobrecarga laboral del equipo evaluador del CORE.</t>
  </si>
  <si>
    <t xml:space="preserve">Mitigar: Coordinar fechas de revisión con anticipación y definir plazos formales de validación.
</t>
  </si>
  <si>
    <t>Fechas de revisión coordinadas, definir plazos.</t>
  </si>
  <si>
    <t>Fallo en módulo de generación de PDFs de minutas.</t>
  </si>
  <si>
    <t>Librerías obsoletas o incompatibles en servidor.</t>
  </si>
  <si>
    <t xml:space="preserve">Mitigar: Actualizar dependencias y probar librerías en entorno controlado.
</t>
  </si>
  <si>
    <t>Realizar pruebas de compativilidad.</t>
  </si>
  <si>
    <t>Usuario sin privilegios accede a información restringida.</t>
  </si>
  <si>
    <t>Error en asignación de roles o permisos en backend.</t>
  </si>
  <si>
    <t xml:space="preserve">Mitigar: Revisar  permisos y aplicar pruebas de funcionalidad.
</t>
  </si>
  <si>
    <t>Es nesesario para poder cumplir con lo acordado,  que los roles esten bien definidos.</t>
  </si>
  <si>
    <t>Corte eléctrico afecta el entorno de pruebas local.</t>
  </si>
  <si>
    <t>Dependencia de servidores sin respaldo energético.</t>
  </si>
  <si>
    <t xml:space="preserve"> Transferir: Usar servicios cloud con redundancia y UPS local.</t>
  </si>
  <si>
    <t>El GORE cuenta con un sistema de respaldo diario con la empresa Cloner.</t>
  </si>
  <si>
    <t>Confusión en las prioridades de tareas entre sprints.</t>
  </si>
  <si>
    <t>No se actualiza  el product backlog.</t>
  </si>
  <si>
    <t xml:space="preserve"> Mitigar: Validar prioridades en cada reunión de planificación.</t>
  </si>
  <si>
    <t>Es una nesesidad para que concuerden los documentos.</t>
  </si>
  <si>
    <t>Discrepancias entre diseño aprobado y versión desarrollada.</t>
  </si>
  <si>
    <t>No seguimiento de los mockups validados.</t>
  </si>
  <si>
    <t xml:space="preserve">Mitigar: Usar revisión de UX en cada sprint y documentar cambios visuales.
</t>
  </si>
  <si>
    <t>Es nesesario en reuniones mostrar prototipos para llegar a un consenso adecuado para las partes  asi proponer esquemas visuales .</t>
  </si>
  <si>
    <t>Error al ejecutar scripts de migración de base de datos.</t>
  </si>
  <si>
    <t>Cambios de esquema no versionados correctamente.</t>
  </si>
  <si>
    <t xml:space="preserve">Mitigar: Usar herramientas de versionado de actualizaciones del código.
</t>
  </si>
  <si>
    <t xml:space="preserve">Versionador de actualizaciones </t>
  </si>
  <si>
    <t>Riesgo de retraso por falta de control en entregas parciales.</t>
  </si>
  <si>
    <t>No se realiza seguimiento formal de los hitos intermedios.</t>
  </si>
  <si>
    <t xml:space="preserve">Mitigar: Definir entregables por sprint y revisarlos en reuniones de control.
</t>
  </si>
  <si>
    <t>Definiendo entregables/sprint. Pendiente programar reunión de control.</t>
  </si>
  <si>
    <t>Error en módulo de carga de documentos por límite de tamaño.</t>
  </si>
  <si>
    <t>Configuración inadecuada en PHP o servidor web.</t>
  </si>
  <si>
    <t xml:space="preserve"> Mitigar: Obviar el tamaño máximo antes de subir archivos.</t>
  </si>
  <si>
    <t>No existe un máximo de peso para un archivo adjunto.</t>
  </si>
  <si>
    <t>Falta de claridad en reglas de negocio sobre votaciones.</t>
  </si>
  <si>
    <t>No se definieron escenarios excepcionales en los requerimientos.</t>
  </si>
  <si>
    <t xml:space="preserve">Evitar: Trabajar con reuniones semanales durante el primer mes para la revisión de requerimientos.
</t>
  </si>
  <si>
    <t xml:space="preserve"> Validacion del cliente en reuniones semanales.</t>
  </si>
  <si>
    <t>Baja usabilidad de la interfaz principal.</t>
  </si>
  <si>
    <t>Diseño sin pruebas con usuarios representativos.</t>
  </si>
  <si>
    <t xml:space="preserve"> Mitigar: Aplicar test de usabilidad con feedback real y rediseño iterativo.
</t>
  </si>
  <si>
    <t>Casos de test de usabilidad diseñados.</t>
  </si>
  <si>
    <t>Fallas intermitentes en el acceso al sistema.</t>
  </si>
  <si>
    <t>Conexión inestable del servidor de desarrollo.</t>
  </si>
  <si>
    <t xml:space="preserve"> Transferir: Migrar entorno de pruebas a servidor con SLA garantizado.
</t>
  </si>
  <si>
    <t>Solicitud de migración a servidor con SLA en curso. Pendiente aprobación.</t>
  </si>
  <si>
    <t>Falta de coordinación en entregas conjuntas.</t>
  </si>
  <si>
    <t>Reuniones de revisión canceladas o no registradas.</t>
  </si>
  <si>
    <t xml:space="preserve">Mitigar: Reagendar revisiones y establecer calendario fijo de entregas.
</t>
  </si>
  <si>
    <t>Calendario fijo establecido. Pendiente asegurar reagendamiento de reuniones.</t>
  </si>
  <si>
    <t>Falta de control de versiones en documentos del proyecto.</t>
  </si>
  <si>
    <t>No se aplica convención en nombres o repositorio compartido.</t>
  </si>
  <si>
    <t xml:space="preserve">Mitigar: Centralizar documentación en repositorio versionado (Git o Drive).
</t>
  </si>
  <si>
    <t>Asignar responsable.</t>
  </si>
  <si>
    <t>Reducción del tiempo asignado por la dirección del CORE.</t>
  </si>
  <si>
    <t>Cambios en la planificación institucional.</t>
  </si>
  <si>
    <t xml:space="preserve">Transferir: Solicitar prórroga o ajustar entregables prioritarios.
</t>
  </si>
  <si>
    <t>Solicitud de prórroga en evaluación. Pendiente re-priorizar si se niega.</t>
  </si>
  <si>
    <t>Error al consumir servicio externo de firma electrónica.</t>
  </si>
  <si>
    <t>Cambios en endpoints o certificados vencidos.</t>
  </si>
  <si>
    <t xml:space="preserve">Mitigar: Implementar monitoreo y validación de certificados periódicamente.
</t>
  </si>
  <si>
    <t>Monitoreo del servicio iniciado. Pendiente validar expiración del certificado.</t>
  </si>
  <si>
    <t>Desbordamiento de sesión por falta de cierre de variables.</t>
  </si>
  <si>
    <t>Sesiones PHP mal gestionadas en el servidor.</t>
  </si>
  <si>
    <t xml:space="preserve">Mitigar: Revisar gestión de sesión y destruir variables al cerrar usuario.
</t>
  </si>
  <si>
    <t>Gestión de sesión revisada. Pendiente prueba de carga concurrente.</t>
  </si>
  <si>
    <t>Acceso de usuarios sin autenticación por error de sesión.</t>
  </si>
  <si>
    <t>Cookie de sesión no invalidada correctamente.</t>
  </si>
  <si>
    <t xml:space="preserve"> Mitigar: Implementar control de expiración y validación de sesión activa.</t>
  </si>
  <si>
    <t>Control de expiración de sesión activo.</t>
  </si>
  <si>
    <t>Retrasos en validaciones del comité técnico del CORE.</t>
  </si>
  <si>
    <t>Falta de disponibilidad de representantes institucionales.</t>
  </si>
  <si>
    <t xml:space="preserve"> Mitigar: Coordinar fechas de revisión con anticipación y mantener comunicación directa.</t>
  </si>
  <si>
    <t>Comunicación directa establecida. coordinar revisiones con antelación (10 días).</t>
  </si>
  <si>
    <t>Requerimientos contradictorios entre usuarios.</t>
  </si>
  <si>
    <t>Diferentes interpretaciones de un mismo proceso.</t>
  </si>
  <si>
    <t xml:space="preserve">Evitar: Documentar casos de uso y validarlos con todos los stakeholders.
</t>
  </si>
  <si>
    <t>Documentación de casos de uso en curso.</t>
  </si>
  <si>
    <t>Error al generar reportes PDF por fuente faltante.</t>
  </si>
  <si>
    <t>Dependencia no instalada en servidor de producción.</t>
  </si>
  <si>
    <t xml:space="preserve">Mitigar: Agregar librerías de fuentes al despliegue automático.
</t>
  </si>
  <si>
    <t>Librerías de fuentes añadidas.</t>
  </si>
  <si>
    <t>Reuniones diarias canceladas de forma repetida.</t>
  </si>
  <si>
    <t>Sobrecarga de tareas o falta de seguimiento.</t>
  </si>
  <si>
    <t xml:space="preserve">Mitigar: Mantener registro de asistencia y establecer suplentes por ausencia.
</t>
  </si>
  <si>
    <t>Registro de asistencia implementado.</t>
  </si>
  <si>
    <t>Módulo de gestión documental no valida formato de archivos.</t>
  </si>
  <si>
    <t>Carga de extensiones no permitidas por error de validación.</t>
  </si>
  <si>
    <t xml:space="preserve"> Mitigar: Implementar control de extensiones y tamaño de archivos.</t>
  </si>
  <si>
    <t>Control de extensiones implementado.</t>
  </si>
  <si>
    <t>Pérdida de archivos por falla en respaldo automático.</t>
  </si>
  <si>
    <t>Cron de backup no configurado correctamente.</t>
  </si>
  <si>
    <t xml:space="preserve">Mitigar: Programar tareas automáticas y validar restauración semanalmente.
</t>
  </si>
  <si>
    <t>Crear un backup de los archivos.</t>
  </si>
  <si>
    <t>Falta de seguimiento a tareas cerradas en el backlog.</t>
  </si>
  <si>
    <t>No se actualiza el estado real del avance en planilla de tareas.</t>
  </si>
  <si>
    <t xml:space="preserve">Mitigar: Revisar backlog en cada daily y cerrar tareas completadas formalmente.
</t>
  </si>
  <si>
    <t>Revisión de product backlog.</t>
  </si>
  <si>
    <t>Lentitud en carga del módulo principal del sistema.</t>
  </si>
  <si>
    <t>Exceso de consultas sin optimización o assets pesados.</t>
  </si>
  <si>
    <t xml:space="preserve">Mitigar: Implementar caché y optimizar recursos estáticos.
</t>
  </si>
  <si>
    <t>Caché y optimización en curso ,medición de rendimiento oficial.</t>
  </si>
  <si>
    <t>Errores en el módulo de filtrado de información.</t>
  </si>
  <si>
    <t>Implementación incorrecta de las consultas SQL.</t>
  </si>
  <si>
    <t xml:space="preserve">Mitigar: Revisar consultas SQL y crear pruebas unitarias específicas.
</t>
  </si>
  <si>
    <t>Revisión de consultas SQL en curso.</t>
  </si>
  <si>
    <t>No contemplar la carga masiva de datos en el diseño inicial.</t>
  </si>
  <si>
    <t>Falta de definición del volumen esperado de información. Falta de definición del volumen esperado de información.</t>
  </si>
  <si>
    <t xml:space="preserve">Evitar: Incluir requerimientos de rendimiento en la fase de análisis.
</t>
  </si>
  <si>
    <t>En análisis. Definiendo volumen de datos.</t>
  </si>
  <si>
    <t>Falla de red durante la presentación final del proyecto.</t>
  </si>
  <si>
    <t>Conexión inestable o falta de respaldo de internet.</t>
  </si>
  <si>
    <t xml:space="preserve">Transferir: Preparar presentación offline y grabar demo funcional.
</t>
  </si>
  <si>
    <t>Demo grabada y presentación offline preparada.</t>
  </si>
  <si>
    <t>Vulnerabilidad XSS en formularios de ingreso de texto.</t>
  </si>
  <si>
    <t>Falta de sanitización de datos de entrada.</t>
  </si>
  <si>
    <t xml:space="preserve">Mitigar: Aplicar sanitización en backend y validaciones en frontend.
</t>
  </si>
  <si>
    <t>Sanitización XSS aplicada.</t>
  </si>
  <si>
    <t>Errores de visualización en navegadores antiguos.</t>
  </si>
  <si>
    <t>Falta de compatibilidad con versiones obsoletas de navegadores.</t>
  </si>
  <si>
    <t xml:space="preserve">Mitigar: Limitar soporte a versiones actualizadas y advertir a usuarios.
</t>
  </si>
  <si>
    <t>Límite de soporte definido.</t>
  </si>
  <si>
    <t>Falta de documentación técnica entregada al equipo Equipo de Desarrollo.</t>
  </si>
  <si>
    <t>No compartir manuales de endpoints o esquemas.</t>
  </si>
  <si>
    <t xml:space="preserve">Mitigar: Crear documentación técnica en repositorio compartido.
</t>
  </si>
  <si>
    <t>Repositorio de documentación creado.</t>
  </si>
  <si>
    <t>Pérdida de logs por falta de configuración en servidor.</t>
  </si>
  <si>
    <t>No se habilita almacenamiento rotativo o backup.</t>
  </si>
  <si>
    <t xml:space="preserve">Mitigar: Configurar rotación de logs y alertas automáticas.
</t>
  </si>
  <si>
    <t>Rotación de logs y alertas configuradas.</t>
  </si>
  <si>
    <t>Errores en la validación de datos por falta de restricciones.</t>
  </si>
  <si>
    <t>Reglas de negocio no aplicadas en modelo de datos.</t>
  </si>
  <si>
    <t xml:space="preserve">Mitigar: Agregar validaciones de integridad en el esquema de la base de datos.
</t>
  </si>
  <si>
    <t>Validaciones de integridad en DB iniciadas.</t>
  </si>
  <si>
    <t>Demora en cierre del proyecto por falta de minuta final firmada.</t>
  </si>
  <si>
    <t>No se coordina a tiempo la reunión de cierre con el cliente.</t>
  </si>
  <si>
    <t>Mitigar: Programar reunión de cierre y validar entregables antes de la fecha límite.</t>
  </si>
  <si>
    <t>Reunión de cierre programada.</t>
  </si>
  <si>
    <t>Fallo en carga de imágenes por incompatibilidad de formato.</t>
  </si>
  <si>
    <t>Extensiones no soportadas o metadatos corruptos.</t>
  </si>
  <si>
    <t xml:space="preserve">Mitigar: Validar formatos aceptados y optimizar imágenes al subir.
</t>
  </si>
  <si>
    <t>Formatos de imagen validados.</t>
  </si>
  <si>
    <t>Intento de acceso por fuerza bruta al login.</t>
  </si>
  <si>
    <t>No se limita el número de intentos fallidos.</t>
  </si>
  <si>
    <t xml:space="preserve">Mitigar: Implementar bloqueo temporal tras varios intentos fallidos.
</t>
  </si>
  <si>
    <t>Bloqueo temporal implementado.</t>
  </si>
  <si>
    <t>Nueva normativa del CORE emitida durante desarrollo.</t>
  </si>
  <si>
    <t xml:space="preserve">Evitar: Evaluar impacto normativo antes de cada sprint.
</t>
  </si>
  <si>
    <t>En análisis. Evaluación de impacto normativo en curso.</t>
  </si>
  <si>
    <t>Mala interpretación de tareas asignadas.</t>
  </si>
  <si>
    <t>Descripción ambigua en los tickets del backlog.</t>
  </si>
  <si>
    <t xml:space="preserve">Mitigar: Revisar redacción de tareas y confirmar entendimiento en la daily.
</t>
  </si>
  <si>
    <t>Redacción de tareas revisada. Se exige confirmación de entendimiento</t>
  </si>
  <si>
    <t>Errores en integración entre módulo de asistencia y votaciones.</t>
  </si>
  <si>
    <t>Campos de relación no coinciden entre tablas.</t>
  </si>
  <si>
    <t xml:space="preserve">Mitigar: Revisar estructura relacional y normalizar claves de unión.
</t>
  </si>
  <si>
    <t>Revisión de estructura relacional en curso.</t>
  </si>
  <si>
    <t>Fallo en servicio de correo de notificaciones.</t>
  </si>
  <si>
    <t>Configuración SMTP o credenciales expiradas.</t>
  </si>
  <si>
    <t xml:space="preserve">Mitigar: Monitorear servicio de correo y renovar credenciales periódicamente.
</t>
  </si>
  <si>
    <t>Monitoreo del servicio implementado.</t>
  </si>
  <si>
    <t>Pruebas de aceptación retrasadas por falta de datos de ejemplo.</t>
  </si>
  <si>
    <t>Cliente no entrega información real para pruebas.</t>
  </si>
  <si>
    <t xml:space="preserve">Mitigar: Crear dataset de prueba propio basado en datos anonimizados.
</t>
  </si>
  <si>
    <t>Creación de dataset de prueba propio en curso.</t>
  </si>
  <si>
    <t>Error en exportación  por codificación incorrecta.</t>
  </si>
  <si>
    <t>No se define estándar UTF-8 en los encabezados.</t>
  </si>
  <si>
    <t xml:space="preserve">Mitigar: Configurar charset estándar y verificar en pruebas de exportación.
</t>
  </si>
  <si>
    <t>Codificación UTF-8 configurada.</t>
  </si>
  <si>
    <t>Falta de documentación del proceso de mantenimiento post entrega.</t>
  </si>
  <si>
    <t>No se define responsable de soporte tras implementación.</t>
  </si>
  <si>
    <t>Mitigar: Crear plan de soporte y manual de mantenimiento con responsables definidos.
.</t>
  </si>
  <si>
    <t>Manuales de usuarios y contacto de soporte propio.</t>
  </si>
  <si>
    <t>Técnico</t>
  </si>
  <si>
    <t>Costo</t>
  </si>
  <si>
    <t>Equipo de Trabajo</t>
  </si>
  <si>
    <t>Costos</t>
  </si>
  <si>
    <t>Muy Bajo</t>
  </si>
  <si>
    <t>Clientes y Stakeholders</t>
  </si>
  <si>
    <t xml:space="preserve">Bajo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</si>
</sst>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b/>
      <sz val="9.0"/>
      <color rgb="FFFFFFFF"/>
      <name val="Arial"/>
    </font>
    <font>
      <sz val="9.0"/>
      <color rgb="FF595959"/>
      <name val="Calibri"/>
    </font>
    <font>
      <sz val="9.0"/>
      <color rgb="FF595959"/>
      <name val="Arial"/>
    </font>
    <font>
      <sz val="10.0"/>
      <color rgb="FF595959"/>
      <name val="Arial"/>
    </font>
    <font>
      <b/>
      <sz val="9.0"/>
      <color theme="1"/>
      <name val="Calibri"/>
    </font>
    <font>
      <sz val="20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9EFF6D"/>
        <bgColor rgb="FF9EFF6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26B0A"/>
        <bgColor rgb="FFE26B0A"/>
      </patternFill>
    </fill>
    <fill>
      <patternFill patternType="solid">
        <fgColor rgb="FF99FF33"/>
        <bgColor rgb="FF99FF33"/>
      </patternFill>
    </fill>
  </fills>
  <borders count="5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rgb="FF000080"/>
      </left>
      <top style="thin">
        <color rgb="FF000080"/>
      </top>
      <bottom style="thin">
        <color rgb="FF000080"/>
      </bottom>
    </border>
    <border>
      <top style="thin">
        <color rgb="FF000080"/>
      </top>
      <bottom style="thin">
        <color rgb="FF00008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ont="1"/>
    <xf borderId="9" fillId="4" fontId="1" numFmtId="0" xfId="0" applyBorder="1" applyFill="1" applyFont="1"/>
    <xf borderId="10" fillId="4" fontId="1" numFmtId="0" xfId="0" applyBorder="1" applyFont="1"/>
    <xf borderId="11" fillId="5" fontId="5" numFmtId="0" xfId="0" applyAlignment="1" applyBorder="1" applyFill="1" applyFont="1">
      <alignment horizontal="center" textRotation="90" vertical="center"/>
    </xf>
    <xf borderId="12" fillId="3" fontId="6" numFmtId="0" xfId="0" applyAlignment="1" applyBorder="1" applyFont="1">
      <alignment horizontal="center" vertical="center"/>
    </xf>
    <xf borderId="13" fillId="5" fontId="4" numFmtId="0" xfId="0" applyBorder="1" applyFont="1"/>
    <xf borderId="14" fillId="5" fontId="4" numFmtId="0" xfId="0" applyBorder="1" applyFont="1"/>
    <xf borderId="3" fillId="2" fontId="1" numFmtId="0" xfId="0" applyAlignment="1" applyBorder="1" applyFont="1">
      <alignment horizontal="center"/>
    </xf>
    <xf borderId="15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5" fontId="6" numFmtId="0" xfId="0" applyAlignment="1" applyBorder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1" fillId="0" fontId="1" numFmtId="0" xfId="0" applyBorder="1" applyFont="1"/>
    <xf borderId="17" fillId="0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3" numFmtId="0" xfId="0" applyBorder="1" applyFont="1"/>
    <xf borderId="24" fillId="8" fontId="7" numFmtId="0" xfId="0" applyAlignment="1" applyBorder="1" applyFill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26" fillId="0" fontId="3" numFmtId="0" xfId="0" applyBorder="1" applyFont="1"/>
    <xf borderId="19" fillId="3" fontId="6" numFmtId="0" xfId="0" applyAlignment="1" applyBorder="1" applyFont="1">
      <alignment horizontal="center" vertical="center"/>
    </xf>
    <xf borderId="27" fillId="5" fontId="4" numFmtId="0" xfId="0" applyBorder="1" applyFont="1"/>
    <xf borderId="28" fillId="5" fontId="4" numFmtId="0" xfId="0" applyBorder="1" applyFont="1"/>
    <xf borderId="29" fillId="5" fontId="5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5" fontId="4" numFmtId="0" xfId="0" applyBorder="1" applyFont="1"/>
    <xf borderId="33" fillId="3" fontId="2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2" numFmtId="0" xfId="0" applyAlignment="1" applyBorder="1" applyFont="1">
      <alignment horizontal="left" vertical="top"/>
    </xf>
    <xf borderId="37" fillId="0" fontId="3" numFmtId="0" xfId="0" applyBorder="1" applyFont="1"/>
    <xf borderId="38" fillId="0" fontId="3" numFmtId="0" xfId="0" applyBorder="1" applyFont="1"/>
    <xf borderId="39" fillId="0" fontId="8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left" vertical="top"/>
    </xf>
    <xf borderId="40" fillId="0" fontId="4" numFmtId="0" xfId="0" applyAlignment="1" applyBorder="1" applyFont="1">
      <alignment horizontal="left" shrinkToFit="0" vertical="top" wrapText="1"/>
    </xf>
    <xf borderId="41" fillId="0" fontId="8" numFmtId="49" xfId="0" applyAlignment="1" applyBorder="1" applyFont="1" applyNumberFormat="1">
      <alignment horizontal="center" vertical="center"/>
    </xf>
    <xf borderId="42" fillId="9" fontId="9" numFmtId="0" xfId="0" applyAlignment="1" applyBorder="1" applyFill="1" applyFont="1">
      <alignment horizontal="left" shrinkToFit="0" vertical="center" wrapText="1"/>
    </xf>
    <xf borderId="43" fillId="0" fontId="3" numFmtId="0" xfId="0" applyBorder="1" applyFont="1"/>
    <xf borderId="44" fillId="0" fontId="3" numFmtId="0" xfId="0" applyBorder="1" applyFont="1"/>
    <xf borderId="42" fillId="0" fontId="10" numFmtId="0" xfId="0" applyAlignment="1" applyBorder="1" applyFont="1">
      <alignment horizontal="left" readingOrder="0" shrinkToFit="0" vertical="center" wrapText="1"/>
    </xf>
    <xf borderId="42" fillId="10" fontId="11" numFmtId="0" xfId="0" applyAlignment="1" applyBorder="1" applyFill="1" applyFont="1">
      <alignment horizontal="left" readingOrder="0" shrinkToFit="0" vertical="center" wrapText="1"/>
    </xf>
    <xf borderId="42" fillId="10" fontId="12" numFmtId="0" xfId="0" applyAlignment="1" applyBorder="1" applyFont="1">
      <alignment horizontal="left" shrinkToFit="0" vertical="center" wrapText="1"/>
    </xf>
    <xf borderId="42" fillId="9" fontId="9" numFmtId="0" xfId="0" applyAlignment="1" applyBorder="1" applyFont="1">
      <alignment horizontal="center" shrinkToFit="0" vertical="center" wrapText="1"/>
    </xf>
    <xf borderId="45" fillId="11" fontId="13" numFmtId="0" xfId="0" applyAlignment="1" applyBorder="1" applyFill="1" applyFont="1">
      <alignment horizontal="center" shrinkToFit="0" vertical="center" wrapText="1"/>
    </xf>
    <xf borderId="45" fillId="0" fontId="10" numFmtId="164" xfId="0" applyAlignment="1" applyBorder="1" applyFont="1" applyNumberFormat="1">
      <alignment horizontal="center" readingOrder="0" shrinkToFit="0" vertical="center" wrapText="1"/>
    </xf>
    <xf borderId="45" fillId="0" fontId="10" numFmtId="0" xfId="0" applyAlignment="1" applyBorder="1" applyFont="1">
      <alignment horizontal="center" shrinkToFit="0" vertical="center" wrapText="1"/>
    </xf>
    <xf borderId="45" fillId="0" fontId="10" numFmtId="0" xfId="0" applyAlignment="1" applyBorder="1" applyFont="1">
      <alignment horizontal="left" readingOrder="0" shrinkToFit="0" vertical="center" wrapText="1"/>
    </xf>
    <xf borderId="13" fillId="10" fontId="10" numFmtId="164" xfId="0" applyAlignment="1" applyBorder="1" applyFont="1" applyNumberFormat="1">
      <alignment horizontal="center" shrinkToFit="0" vertical="center" wrapText="1"/>
    </xf>
    <xf borderId="13" fillId="10" fontId="10" numFmtId="0" xfId="0" applyAlignment="1" applyBorder="1" applyFont="1">
      <alignment horizontal="center" shrinkToFit="0" vertical="center" wrapText="1"/>
    </xf>
    <xf borderId="13" fillId="10" fontId="10" numFmtId="0" xfId="0" applyAlignment="1" applyBorder="1" applyFont="1">
      <alignment horizontal="left" shrinkToFit="0" vertical="center" wrapText="1"/>
    </xf>
    <xf borderId="45" fillId="0" fontId="10" numFmtId="0" xfId="0" applyAlignment="1" applyBorder="1" applyFont="1">
      <alignment horizontal="center" readingOrder="0" shrinkToFit="0" vertical="center" wrapText="1"/>
    </xf>
    <xf borderId="45" fillId="0" fontId="10" numFmtId="165" xfId="0" applyAlignment="1" applyBorder="1" applyFont="1" applyNumberFormat="1">
      <alignment horizontal="center" readingOrder="0" shrinkToFit="0" vertical="center" wrapText="1"/>
    </xf>
    <xf borderId="45" fillId="0" fontId="10" numFmtId="164" xfId="0" applyAlignment="1" applyBorder="1" applyFont="1" applyNumberFormat="1">
      <alignment horizontal="center" shrinkToFit="0" vertical="center" wrapText="1"/>
    </xf>
    <xf borderId="45" fillId="0" fontId="10" numFmtId="0" xfId="0" applyAlignment="1" applyBorder="1" applyFont="1">
      <alignment horizontal="left" shrinkToFit="0" vertical="center" wrapText="1"/>
    </xf>
    <xf borderId="46" fillId="12" fontId="14" numFmtId="0" xfId="0" applyAlignment="1" applyBorder="1" applyFill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15" fillId="13" fontId="1" numFmtId="0" xfId="0" applyAlignment="1" applyBorder="1" applyFill="1" applyFont="1">
      <alignment horizontal="center" shrinkToFit="0" vertical="center" wrapText="1"/>
    </xf>
    <xf borderId="15" fillId="13" fontId="4" numFmtId="0" xfId="0" applyAlignment="1" applyBorder="1" applyFont="1">
      <alignment horizontal="center" readingOrder="0" shrinkToFit="0" vertical="center" wrapText="1"/>
    </xf>
    <xf borderId="15" fillId="13" fontId="1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5" fillId="0" fontId="4" numFmtId="164" xfId="0" applyAlignment="1" applyBorder="1" applyFont="1" applyNumberFormat="1">
      <alignment horizontal="center" readingOrder="0" shrinkToFit="0" vertical="center" wrapText="1"/>
    </xf>
    <xf borderId="15" fillId="10" fontId="4" numFmtId="0" xfId="0" applyAlignment="1" applyBorder="1" applyFont="1">
      <alignment horizontal="left" readingOrder="0" shrinkToFit="0" vertical="center" wrapText="1"/>
    </xf>
    <xf borderId="15" fillId="10" fontId="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readingOrder="0" shrinkToFit="0" vertical="center" wrapText="1"/>
    </xf>
    <xf borderId="15" fillId="0" fontId="15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readingOrder="0" vertical="center"/>
    </xf>
    <xf borderId="15" fillId="5" fontId="4" numFmtId="0" xfId="0" applyAlignment="1" applyBorder="1" applyFont="1">
      <alignment horizontal="center" readingOrder="0" shrinkToFit="0" vertical="center" wrapText="1"/>
    </xf>
    <xf borderId="15" fillId="1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vertical="center"/>
    </xf>
    <xf borderId="15" fillId="0" fontId="15" numFmtId="0" xfId="0" applyAlignment="1" applyBorder="1" applyFont="1">
      <alignment readingOrder="0" vertical="center"/>
    </xf>
    <xf borderId="0" fillId="1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1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vertical="center"/>
    </xf>
    <xf borderId="15" fillId="0" fontId="15" numFmtId="0" xfId="0" applyAlignment="1" applyBorder="1" applyFont="1">
      <alignment horizontal="left" vertical="center"/>
    </xf>
    <xf borderId="15" fillId="0" fontId="15" numFmtId="0" xfId="0" applyAlignment="1" applyBorder="1" applyFont="1">
      <alignment vertical="center"/>
    </xf>
    <xf borderId="15" fillId="0" fontId="16" numFmtId="0" xfId="0" applyAlignment="1" applyBorder="1" applyFont="1">
      <alignment horizontal="center"/>
    </xf>
    <xf borderId="15" fillId="0" fontId="17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15" fillId="0" fontId="16" numFmtId="0" xfId="0" applyAlignment="1" applyBorder="1" applyFont="1">
      <alignment horizontal="center" shrinkToFit="0" wrapText="1"/>
    </xf>
    <xf borderId="22" fillId="12" fontId="18" numFmtId="0" xfId="0" applyAlignment="1" applyBorder="1" applyFont="1">
      <alignment horizontal="center"/>
    </xf>
    <xf borderId="49" fillId="0" fontId="3" numFmtId="0" xfId="0" applyBorder="1" applyFont="1"/>
    <xf borderId="50" fillId="12" fontId="18" numFmtId="0" xfId="0" applyAlignment="1" applyBorder="1" applyFont="1">
      <alignment horizontal="left"/>
    </xf>
    <xf borderId="51" fillId="0" fontId="18" numFmtId="0" xfId="0" applyAlignment="1" applyBorder="1" applyFont="1">
      <alignment horizontal="center"/>
    </xf>
    <xf borderId="52" fillId="0" fontId="18" numFmtId="0" xfId="0" applyAlignment="1" applyBorder="1" applyFont="1">
      <alignment horizontal="center"/>
    </xf>
    <xf borderId="32" fillId="2" fontId="18" numFmtId="0" xfId="0" applyAlignment="1" applyBorder="1" applyFont="1">
      <alignment horizontal="left"/>
    </xf>
    <xf borderId="32" fillId="14" fontId="18" numFmtId="0" xfId="0" applyAlignment="1" applyBorder="1" applyFill="1" applyFont="1">
      <alignment horizontal="left"/>
    </xf>
    <xf borderId="32" fillId="7" fontId="18" numFmtId="0" xfId="0" applyAlignment="1" applyBorder="1" applyFont="1">
      <alignment horizontal="left"/>
    </xf>
    <xf borderId="32" fillId="15" fontId="18" numFmtId="0" xfId="0" applyAlignment="1" applyBorder="1" applyFill="1" applyFont="1">
      <alignment horizontal="left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customschemas.google.com/relationships/workbookmetadata" Target="metadata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Gesti&#243;n%20PMO%20-%20Proyecto%20CCC%20-%202012%2010%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Registro%20de%20Riesgos%20%20Proyecto%20AOL-Trazabilidad%20%20v1.2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gestion%20certificados\fase%20II\ejecucion\control%20de%20proyecto\Registro%20de%20Riesgos%20%20Proyecto%20gesti&#243;n%20%20certificados%20Sicex%20v1.3.xlsm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areas%20de%20extraccion%202\Registro%20de%20Riesgos%20%20Proyecto%20Siscomex%20Areas%20de%20extracci&#243;n%20v1.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3"/>
      <c r="D3" s="1"/>
      <c r="E3" s="1"/>
      <c r="F3" s="1"/>
      <c r="G3" s="4"/>
      <c r="H3" s="4"/>
      <c r="I3" s="4"/>
      <c r="J3" s="4"/>
      <c r="K3" s="4"/>
      <c r="L3" s="4"/>
      <c r="M3" s="1"/>
      <c r="N3" s="1"/>
      <c r="O3" s="1"/>
      <c r="P3" s="5" t="s">
        <v>2</v>
      </c>
      <c r="Q3" s="5" t="s">
        <v>3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4</v>
      </c>
      <c r="C4" s="7">
        <v>3.0</v>
      </c>
      <c r="D4" s="1"/>
      <c r="E4" s="1"/>
      <c r="F4" s="1"/>
      <c r="G4" s="8" t="s">
        <v>5</v>
      </c>
      <c r="H4" s="9"/>
      <c r="I4" s="9"/>
      <c r="J4" s="9"/>
      <c r="K4" s="9"/>
      <c r="L4" s="10"/>
      <c r="M4" s="1"/>
      <c r="N4" s="1"/>
      <c r="O4" s="11" t="s">
        <v>6</v>
      </c>
      <c r="P4" s="12" t="s">
        <v>7</v>
      </c>
      <c r="Q4" s="13" t="s">
        <v>8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9</v>
      </c>
      <c r="C5" s="7">
        <v>2.0</v>
      </c>
      <c r="D5" s="1"/>
      <c r="E5" s="1"/>
      <c r="F5" s="1"/>
      <c r="G5" s="14"/>
      <c r="H5" s="15" t="s">
        <v>7</v>
      </c>
      <c r="I5" s="16"/>
      <c r="J5" s="16"/>
      <c r="K5" s="16"/>
      <c r="L5" s="17"/>
      <c r="M5" s="1"/>
      <c r="N5" s="1"/>
      <c r="O5" s="18">
        <f t="array" ref="O5">INDEX(MatrizRiesgo,MATCH(P5,ProbabilidadRiesgo,0),MATCH(Q5,ImpactoRiesgo,0))</f>
        <v>1</v>
      </c>
      <c r="P5" s="19" t="s">
        <v>10</v>
      </c>
      <c r="Q5" s="20" t="s">
        <v>4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11</v>
      </c>
      <c r="C6" s="22">
        <v>1.0</v>
      </c>
      <c r="D6" s="1"/>
      <c r="E6" s="1"/>
      <c r="F6" s="1"/>
      <c r="G6" s="23"/>
      <c r="H6" s="24" t="s">
        <v>10</v>
      </c>
      <c r="I6" s="25">
        <v>4.0</v>
      </c>
      <c r="J6" s="26">
        <v>2.0</v>
      </c>
      <c r="K6" s="26">
        <v>1.0</v>
      </c>
      <c r="L6" s="17"/>
      <c r="M6" s="1"/>
      <c r="N6" s="1"/>
      <c r="O6" s="18">
        <f t="array" ref="O6">INDEX(MatrizRiesgo,MATCH(P6,ProbabilidadRiesgo,0),MATCH(Q6,ImpactoRiesgo,0))</f>
        <v>3</v>
      </c>
      <c r="P6" s="19" t="s">
        <v>12</v>
      </c>
      <c r="Q6" s="20" t="s">
        <v>4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23"/>
      <c r="H7" s="24" t="s">
        <v>12</v>
      </c>
      <c r="I7" s="27">
        <v>7.0</v>
      </c>
      <c r="J7" s="28">
        <v>5.0</v>
      </c>
      <c r="K7" s="26">
        <v>3.0</v>
      </c>
      <c r="L7" s="17"/>
      <c r="M7" s="1"/>
      <c r="N7" s="1"/>
      <c r="O7" s="18">
        <f t="array" ref="O7">INDEX(MatrizRiesgo,MATCH(P7,ProbabilidadRiesgo,0),MATCH(Q7,ImpactoRiesgo,0))</f>
        <v>9</v>
      </c>
      <c r="P7" s="29" t="s">
        <v>13</v>
      </c>
      <c r="Q7" s="30" t="s">
        <v>11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14</v>
      </c>
      <c r="C8" s="32"/>
      <c r="D8" s="1"/>
      <c r="E8" s="1"/>
      <c r="F8" s="1"/>
      <c r="G8" s="23"/>
      <c r="H8" s="24" t="s">
        <v>13</v>
      </c>
      <c r="I8" s="33">
        <v>9.0</v>
      </c>
      <c r="J8" s="34">
        <v>8.0</v>
      </c>
      <c r="K8" s="35">
        <v>6.0</v>
      </c>
      <c r="L8" s="17"/>
      <c r="M8" s="1"/>
      <c r="N8" s="1"/>
      <c r="O8" s="18">
        <f t="array" ref="O8">INDEX(MatrizRiesgo,MATCH(P8,ProbabilidadRiesgo,0),MATCH(Q8,ImpactoRiesgo,0))</f>
        <v>7</v>
      </c>
      <c r="P8" s="29" t="s">
        <v>12</v>
      </c>
      <c r="Q8" s="30" t="s">
        <v>11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6" t="s">
        <v>15</v>
      </c>
      <c r="C9" s="37"/>
      <c r="D9" s="1"/>
      <c r="E9" s="1"/>
      <c r="F9" s="1"/>
      <c r="G9" s="38"/>
      <c r="H9" s="16"/>
      <c r="I9" s="24" t="s">
        <v>11</v>
      </c>
      <c r="J9" s="24" t="s">
        <v>9</v>
      </c>
      <c r="K9" s="24" t="s">
        <v>4</v>
      </c>
      <c r="L9" s="39" t="s">
        <v>8</v>
      </c>
      <c r="M9" s="1"/>
      <c r="N9" s="1"/>
      <c r="O9" s="18">
        <f t="array" ref="O9">INDEX(MatrizRiesgo,MATCH(P9,ProbabilidadRiesgo,0),MATCH(Q9,ImpactoRiesgo,0))</f>
        <v>4</v>
      </c>
      <c r="P9" s="29" t="s">
        <v>10</v>
      </c>
      <c r="Q9" s="30" t="s">
        <v>11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16</v>
      </c>
      <c r="C10" s="7"/>
      <c r="D10" s="1"/>
      <c r="E10" s="1"/>
      <c r="F10" s="1"/>
      <c r="G10" s="40"/>
      <c r="H10" s="41"/>
      <c r="I10" s="42"/>
      <c r="J10" s="43"/>
      <c r="K10" s="44"/>
      <c r="L10" s="45"/>
      <c r="M10" s="1"/>
      <c r="N10" s="1"/>
      <c r="O10" s="18">
        <f t="array" ref="O10">INDEX(MatrizRiesgo,MATCH(P10,ProbabilidadRiesgo,0),MATCH(Q10,ImpactoRiesgo,0))</f>
        <v>7</v>
      </c>
      <c r="P10" s="29" t="s">
        <v>12</v>
      </c>
      <c r="Q10" s="30" t="s">
        <v>11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17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8">
        <f t="array" ref="O11">INDEX(MatrizRiesgo,MATCH(P11,ProbabilidadRiesgo,0),MATCH(Q11,ImpactoRiesgo,0))</f>
        <v>9</v>
      </c>
      <c r="P11" s="29" t="s">
        <v>13</v>
      </c>
      <c r="Q11" s="30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18</v>
      </c>
      <c r="C12" s="22"/>
      <c r="D12" s="1"/>
      <c r="E12" s="1"/>
      <c r="F12" s="1"/>
      <c r="G12" s="46" t="s">
        <v>19</v>
      </c>
      <c r="H12" s="47"/>
      <c r="I12" s="47"/>
      <c r="J12" s="47"/>
      <c r="K12" s="47"/>
      <c r="L12" s="48"/>
      <c r="M12" s="1"/>
      <c r="N12" s="1"/>
      <c r="O12" s="18">
        <f t="array" ref="O12">INDEX(MatrizRiesgo,MATCH(P12,ProbabilidadRiesgo,0),MATCH(Q12,ImpactoRiesgo,0))</f>
        <v>4</v>
      </c>
      <c r="P12" s="29" t="s">
        <v>10</v>
      </c>
      <c r="Q12" s="30" t="s">
        <v>11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9" t="s">
        <v>20</v>
      </c>
      <c r="H13" s="50"/>
      <c r="I13" s="50"/>
      <c r="J13" s="50"/>
      <c r="K13" s="50"/>
      <c r="L13" s="5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52" t="s">
        <v>21</v>
      </c>
      <c r="H14" s="53" t="s">
        <v>22</v>
      </c>
      <c r="I14" s="50"/>
      <c r="J14" s="50"/>
      <c r="K14" s="50"/>
      <c r="L14" s="5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52" t="s">
        <v>23</v>
      </c>
      <c r="H15" s="54" t="s">
        <v>24</v>
      </c>
      <c r="I15" s="50"/>
      <c r="J15" s="50"/>
      <c r="K15" s="50"/>
      <c r="L15" s="5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52"/>
      <c r="H16" s="54" t="s">
        <v>25</v>
      </c>
      <c r="I16" s="50"/>
      <c r="J16" s="50"/>
      <c r="K16" s="50"/>
      <c r="L16" s="5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31" t="s">
        <v>26</v>
      </c>
      <c r="C17" s="32"/>
      <c r="D17" s="1"/>
      <c r="E17" s="1"/>
      <c r="F17" s="1"/>
      <c r="G17" s="52"/>
      <c r="H17" s="54" t="s">
        <v>27</v>
      </c>
      <c r="I17" s="50"/>
      <c r="J17" s="50"/>
      <c r="K17" s="50"/>
      <c r="L17" s="5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6" t="s">
        <v>28</v>
      </c>
      <c r="C18" s="37"/>
      <c r="D18" s="1"/>
      <c r="E18" s="1"/>
      <c r="F18" s="1"/>
      <c r="G18" s="55">
        <v>9.0</v>
      </c>
      <c r="H18" s="54" t="s">
        <v>29</v>
      </c>
      <c r="I18" s="50"/>
      <c r="J18" s="50"/>
      <c r="K18" s="50"/>
      <c r="L18" s="5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16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17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18</v>
      </c>
      <c r="C21" s="2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P5:P12">
      <formula1>ProbabilidadRiesgo</formula1>
    </dataValidation>
    <dataValidation type="list" allowBlank="1" showErrorMessage="1" sqref="Q5:Q12">
      <formula1>ImpactoRiesgo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57"/>
    <col customWidth="1" min="3" max="3" width="28.29"/>
    <col customWidth="1" min="4" max="4" width="54.71"/>
    <col customWidth="1" min="5" max="26" width="10.71"/>
  </cols>
  <sheetData>
    <row r="1">
      <c r="A1" s="1"/>
      <c r="B1" s="1"/>
      <c r="C1" s="1"/>
      <c r="D1" s="1"/>
    </row>
    <row r="2">
      <c r="A2" s="56" t="s">
        <v>30</v>
      </c>
      <c r="B2" s="57"/>
      <c r="C2" s="57"/>
      <c r="D2" s="58"/>
    </row>
    <row r="3">
      <c r="A3" s="59" t="s">
        <v>31</v>
      </c>
      <c r="B3" s="57"/>
      <c r="C3" s="57"/>
      <c r="D3" s="58"/>
    </row>
    <row r="4">
      <c r="A4" s="56" t="s">
        <v>32</v>
      </c>
      <c r="B4" s="57"/>
      <c r="C4" s="57"/>
      <c r="D4" s="58"/>
    </row>
    <row r="5">
      <c r="A5" s="60" t="s">
        <v>33</v>
      </c>
      <c r="B5" s="57"/>
      <c r="C5" s="57"/>
      <c r="D5" s="58"/>
    </row>
    <row r="6">
      <c r="A6" s="61" t="s">
        <v>34</v>
      </c>
      <c r="B6" s="57"/>
      <c r="C6" s="57"/>
      <c r="D6" s="58"/>
    </row>
    <row r="7">
      <c r="A7" s="62" t="s">
        <v>35</v>
      </c>
      <c r="B7" s="57"/>
      <c r="C7" s="57"/>
      <c r="D7" s="58"/>
    </row>
    <row r="8">
      <c r="A8" s="63" t="s">
        <v>36</v>
      </c>
      <c r="B8" s="63" t="s">
        <v>37</v>
      </c>
      <c r="C8" s="63" t="s">
        <v>38</v>
      </c>
      <c r="D8" s="63" t="s">
        <v>39</v>
      </c>
    </row>
    <row r="9">
      <c r="A9" s="64">
        <v>45935.0</v>
      </c>
      <c r="B9" s="65" t="s">
        <v>40</v>
      </c>
      <c r="C9" s="65" t="s">
        <v>41</v>
      </c>
      <c r="D9" s="66" t="s">
        <v>42</v>
      </c>
    </row>
    <row r="10">
      <c r="A10" s="67"/>
      <c r="B10" s="68"/>
      <c r="C10" s="68"/>
      <c r="D10" s="69"/>
    </row>
    <row r="11">
      <c r="A11" s="68"/>
      <c r="B11" s="68"/>
      <c r="C11" s="68"/>
      <c r="D11" s="69"/>
    </row>
    <row r="12">
      <c r="A12" s="62" t="s">
        <v>43</v>
      </c>
      <c r="B12" s="57"/>
      <c r="C12" s="57"/>
      <c r="D12" s="58"/>
    </row>
    <row r="13">
      <c r="A13" s="63" t="s">
        <v>36</v>
      </c>
      <c r="B13" s="63" t="s">
        <v>37</v>
      </c>
      <c r="C13" s="63" t="s">
        <v>38</v>
      </c>
      <c r="D13" s="63" t="s">
        <v>39</v>
      </c>
    </row>
    <row r="14">
      <c r="A14" s="64">
        <v>45970.0</v>
      </c>
      <c r="B14" s="70" t="s">
        <v>44</v>
      </c>
      <c r="C14" s="70" t="s">
        <v>41</v>
      </c>
      <c r="D14" s="66" t="s">
        <v>45</v>
      </c>
    </row>
    <row r="15">
      <c r="A15" s="64">
        <v>45971.0</v>
      </c>
      <c r="B15" s="70" t="s">
        <v>46</v>
      </c>
      <c r="C15" s="71">
        <v>45658.0</v>
      </c>
      <c r="D15" s="66" t="s">
        <v>47</v>
      </c>
    </row>
    <row r="16">
      <c r="A16" s="64">
        <v>45972.0</v>
      </c>
      <c r="B16" s="70" t="s">
        <v>48</v>
      </c>
      <c r="C16" s="71">
        <v>45689.0</v>
      </c>
      <c r="D16" s="66" t="s">
        <v>49</v>
      </c>
    </row>
    <row r="17">
      <c r="A17" s="64">
        <v>45976.0</v>
      </c>
      <c r="B17" s="70" t="s">
        <v>44</v>
      </c>
      <c r="C17" s="71">
        <v>45717.0</v>
      </c>
      <c r="D17" s="66" t="s">
        <v>50</v>
      </c>
    </row>
    <row r="18" ht="15.75" customHeight="1">
      <c r="A18" s="72"/>
      <c r="B18" s="65"/>
      <c r="C18" s="70"/>
      <c r="D18" s="73"/>
    </row>
    <row r="19" ht="15.75" customHeight="1">
      <c r="A19" s="72"/>
      <c r="B19" s="65"/>
      <c r="C19" s="65"/>
      <c r="D19" s="73"/>
    </row>
    <row r="20" ht="15.75" customHeight="1">
      <c r="A20" s="72"/>
      <c r="B20" s="65"/>
      <c r="C20" s="65"/>
      <c r="D20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2:D2"/>
    <mergeCell ref="A3:D3"/>
    <mergeCell ref="A4:D4"/>
    <mergeCell ref="A5:D5"/>
    <mergeCell ref="A6:D6"/>
    <mergeCell ref="A7:D7"/>
    <mergeCell ref="A12:D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20.43"/>
    <col customWidth="1" min="4" max="4" width="24.71"/>
    <col customWidth="1" min="5" max="5" width="60.0"/>
    <col customWidth="1" min="6" max="6" width="17.0"/>
    <col customWidth="1" min="7" max="7" width="12.29"/>
    <col customWidth="1" min="8" max="8" width="13.86"/>
    <col customWidth="1" min="9" max="11" width="15.0"/>
    <col customWidth="1" min="12" max="12" width="33.14"/>
    <col customWidth="1" min="13" max="13" width="19.29"/>
    <col customWidth="1" min="14" max="14" width="12.71"/>
    <col customWidth="1" min="15" max="15" width="14.14"/>
    <col customWidth="1" min="16" max="16" width="75.71"/>
    <col customWidth="1" min="17" max="26" width="10.71"/>
  </cols>
  <sheetData>
    <row r="1" ht="25.5" customHeight="1">
      <c r="A1" s="74" t="s">
        <v>51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>
      <c r="A2" s="77" t="s">
        <v>52</v>
      </c>
      <c r="B2" s="77" t="s">
        <v>53</v>
      </c>
      <c r="C2" s="77" t="s">
        <v>54</v>
      </c>
      <c r="D2" s="77" t="s">
        <v>55</v>
      </c>
      <c r="E2" s="77" t="s">
        <v>56</v>
      </c>
      <c r="F2" s="77" t="s">
        <v>57</v>
      </c>
      <c r="G2" s="77" t="s">
        <v>58</v>
      </c>
      <c r="H2" s="77" t="s">
        <v>8</v>
      </c>
      <c r="I2" s="78" t="s">
        <v>7</v>
      </c>
      <c r="J2" s="78" t="s">
        <v>8</v>
      </c>
      <c r="K2" s="77" t="s">
        <v>6</v>
      </c>
      <c r="L2" s="77" t="s">
        <v>59</v>
      </c>
      <c r="M2" s="79" t="s">
        <v>60</v>
      </c>
      <c r="N2" s="77" t="s">
        <v>61</v>
      </c>
      <c r="O2" s="77" t="s">
        <v>14</v>
      </c>
      <c r="P2" s="77" t="s">
        <v>62</v>
      </c>
    </row>
    <row r="3">
      <c r="A3" s="80">
        <v>1.0</v>
      </c>
      <c r="B3" s="81">
        <v>45968.0</v>
      </c>
      <c r="C3" s="82" t="s">
        <v>63</v>
      </c>
      <c r="D3" s="82" t="s">
        <v>64</v>
      </c>
      <c r="E3" s="82" t="s">
        <v>65</v>
      </c>
      <c r="F3" s="83" t="s">
        <v>66</v>
      </c>
      <c r="G3" s="80" t="s">
        <v>9</v>
      </c>
      <c r="H3" s="80" t="s">
        <v>4</v>
      </c>
      <c r="I3" s="84">
        <v>4.0</v>
      </c>
      <c r="J3" s="84">
        <v>3.0</v>
      </c>
      <c r="K3" s="85" t="str">
        <f t="array" ref="K3">INDEX(Matriz!$D$6:$H$10,I3,J3)</f>
        <v>Medio</v>
      </c>
      <c r="L3" s="86" t="s">
        <v>67</v>
      </c>
      <c r="M3" s="87" t="s">
        <v>68</v>
      </c>
      <c r="N3" s="81">
        <v>45876.0</v>
      </c>
      <c r="O3" s="83" t="s">
        <v>16</v>
      </c>
      <c r="P3" s="88" t="s">
        <v>69</v>
      </c>
    </row>
    <row r="4" ht="39.0" customHeight="1">
      <c r="A4" s="83">
        <v>2.0</v>
      </c>
      <c r="B4" s="81">
        <v>45968.0</v>
      </c>
      <c r="C4" s="82" t="s">
        <v>70</v>
      </c>
      <c r="D4" s="82" t="s">
        <v>71</v>
      </c>
      <c r="E4" s="82" t="s">
        <v>72</v>
      </c>
      <c r="F4" s="83" t="s">
        <v>73</v>
      </c>
      <c r="G4" s="80" t="s">
        <v>4</v>
      </c>
      <c r="H4" s="80" t="s">
        <v>9</v>
      </c>
      <c r="I4" s="84">
        <v>4.0</v>
      </c>
      <c r="J4" s="84">
        <v>3.0</v>
      </c>
      <c r="K4" s="85" t="str">
        <f t="array" ref="K4">INDEX(Matriz!$D$6:$H$10,I4,J4)</f>
        <v>Medio</v>
      </c>
      <c r="L4" s="86" t="s">
        <v>74</v>
      </c>
      <c r="M4" s="87" t="s">
        <v>75</v>
      </c>
      <c r="N4" s="81">
        <v>45877.0</v>
      </c>
      <c r="O4" s="80" t="s">
        <v>16</v>
      </c>
      <c r="P4" s="89" t="s">
        <v>76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3">
        <v>3.0</v>
      </c>
      <c r="B5" s="81">
        <v>45968.0</v>
      </c>
      <c r="C5" s="82" t="s">
        <v>77</v>
      </c>
      <c r="D5" s="82" t="s">
        <v>78</v>
      </c>
      <c r="E5" s="82" t="s">
        <v>79</v>
      </c>
      <c r="F5" s="83" t="s">
        <v>80</v>
      </c>
      <c r="G5" s="80" t="s">
        <v>11</v>
      </c>
      <c r="H5" s="80" t="s">
        <v>9</v>
      </c>
      <c r="I5" s="84">
        <v>3.0</v>
      </c>
      <c r="J5" s="84">
        <v>1.0</v>
      </c>
      <c r="K5" s="85" t="str">
        <f t="array" ref="K5">INDEX(Matriz!$D$6:$H$10,I4,J4)</f>
        <v>Medio</v>
      </c>
      <c r="L5" s="86" t="s">
        <v>81</v>
      </c>
      <c r="M5" s="87" t="s">
        <v>68</v>
      </c>
      <c r="N5" s="81">
        <v>45878.0</v>
      </c>
      <c r="O5" s="80" t="s">
        <v>28</v>
      </c>
      <c r="P5" s="89" t="s">
        <v>82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42.0" customHeight="1">
      <c r="A6" s="90">
        <v>4.0</v>
      </c>
      <c r="B6" s="81">
        <v>45968.0</v>
      </c>
      <c r="C6" s="82" t="s">
        <v>83</v>
      </c>
      <c r="D6" s="82" t="s">
        <v>84</v>
      </c>
      <c r="E6" s="82" t="s">
        <v>85</v>
      </c>
      <c r="F6" s="83" t="s">
        <v>80</v>
      </c>
      <c r="G6" s="80" t="s">
        <v>9</v>
      </c>
      <c r="H6" s="80" t="s">
        <v>9</v>
      </c>
      <c r="I6" s="84">
        <v>4.0</v>
      </c>
      <c r="J6" s="84">
        <v>2.0</v>
      </c>
      <c r="K6" s="85" t="str">
        <f t="array" ref="K6">INDEX(Matriz!$D$6:$H$10,I4,J4)</f>
        <v>Medio</v>
      </c>
      <c r="L6" s="86" t="s">
        <v>86</v>
      </c>
      <c r="M6" s="87" t="s">
        <v>87</v>
      </c>
      <c r="N6" s="81">
        <v>45879.0</v>
      </c>
      <c r="O6" s="80" t="s">
        <v>16</v>
      </c>
      <c r="P6" s="89" t="s">
        <v>88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3">
        <v>5.0</v>
      </c>
      <c r="B7" s="81">
        <v>45968.0</v>
      </c>
      <c r="C7" s="82" t="s">
        <v>89</v>
      </c>
      <c r="D7" s="82" t="s">
        <v>90</v>
      </c>
      <c r="E7" s="82" t="s">
        <v>91</v>
      </c>
      <c r="F7" s="91" t="s">
        <v>66</v>
      </c>
      <c r="G7" s="80" t="s">
        <v>11</v>
      </c>
      <c r="H7" s="80" t="s">
        <v>9</v>
      </c>
      <c r="I7" s="84">
        <v>4.0</v>
      </c>
      <c r="J7" s="84">
        <v>2.0</v>
      </c>
      <c r="K7" s="85" t="str">
        <f t="array" ref="K7">INDEX(Matriz!$D$6:$H$10,I7,J7)</f>
        <v>Bajo</v>
      </c>
      <c r="L7" s="86" t="s">
        <v>92</v>
      </c>
      <c r="M7" s="87" t="s">
        <v>68</v>
      </c>
      <c r="N7" s="81">
        <v>45881.0</v>
      </c>
      <c r="O7" s="80" t="s">
        <v>16</v>
      </c>
      <c r="P7" s="86" t="s">
        <v>93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3">
        <v>6.0</v>
      </c>
      <c r="B8" s="81">
        <v>45968.0</v>
      </c>
      <c r="C8" s="82" t="s">
        <v>80</v>
      </c>
      <c r="D8" s="82" t="s">
        <v>94</v>
      </c>
      <c r="E8" s="82" t="s">
        <v>95</v>
      </c>
      <c r="F8" s="83" t="s">
        <v>80</v>
      </c>
      <c r="G8" s="92" t="s">
        <v>9</v>
      </c>
      <c r="H8" s="80" t="s">
        <v>9</v>
      </c>
      <c r="I8" s="84">
        <v>5.0</v>
      </c>
      <c r="J8" s="84">
        <v>3.0</v>
      </c>
      <c r="K8" s="85" t="str">
        <f t="array" ref="K8">INDEX(Matriz!$D$6:$H$10,I8,J8)</f>
        <v>Medio</v>
      </c>
      <c r="L8" s="86" t="s">
        <v>96</v>
      </c>
      <c r="M8" s="87" t="s">
        <v>87</v>
      </c>
      <c r="N8" s="81">
        <v>45882.0</v>
      </c>
      <c r="O8" s="80" t="s">
        <v>16</v>
      </c>
      <c r="P8" s="86" t="s">
        <v>97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3">
        <v>7.0</v>
      </c>
      <c r="B9" s="81">
        <v>45968.0</v>
      </c>
      <c r="C9" s="82" t="s">
        <v>98</v>
      </c>
      <c r="D9" s="82" t="s">
        <v>99</v>
      </c>
      <c r="E9" s="82" t="s">
        <v>100</v>
      </c>
      <c r="F9" s="83" t="s">
        <v>73</v>
      </c>
      <c r="G9" s="80" t="s">
        <v>4</v>
      </c>
      <c r="H9" s="80" t="s">
        <v>9</v>
      </c>
      <c r="I9" s="84">
        <v>4.0</v>
      </c>
      <c r="J9" s="84">
        <v>3.0</v>
      </c>
      <c r="K9" s="85" t="str">
        <f t="array" ref="K9">INDEX(Matriz!$D$6:$H$10,I9,J9)</f>
        <v>Medio</v>
      </c>
      <c r="L9" s="86" t="s">
        <v>101</v>
      </c>
      <c r="M9" s="87" t="s">
        <v>75</v>
      </c>
      <c r="N9" s="81">
        <v>45883.0</v>
      </c>
      <c r="O9" s="80" t="s">
        <v>16</v>
      </c>
      <c r="P9" s="86" t="s">
        <v>102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3">
        <v>8.0</v>
      </c>
      <c r="B10" s="81">
        <v>45968.0</v>
      </c>
      <c r="C10" s="82" t="s">
        <v>103</v>
      </c>
      <c r="D10" s="82" t="s">
        <v>104</v>
      </c>
      <c r="E10" s="82" t="s">
        <v>105</v>
      </c>
      <c r="F10" s="91" t="s">
        <v>66</v>
      </c>
      <c r="G10" s="92" t="s">
        <v>9</v>
      </c>
      <c r="H10" s="80" t="s">
        <v>9</v>
      </c>
      <c r="I10" s="84">
        <v>4.0</v>
      </c>
      <c r="J10" s="84">
        <v>3.0</v>
      </c>
      <c r="K10" s="85" t="str">
        <f t="array" ref="K10">INDEX(Matriz!$D$6:$H$10,I10,J10)</f>
        <v>Medio</v>
      </c>
      <c r="L10" s="86" t="s">
        <v>106</v>
      </c>
      <c r="M10" s="87" t="s">
        <v>107</v>
      </c>
      <c r="N10" s="81">
        <v>45884.0</v>
      </c>
      <c r="O10" s="80" t="s">
        <v>18</v>
      </c>
      <c r="P10" s="86" t="s">
        <v>108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3">
        <v>9.0</v>
      </c>
      <c r="B11" s="81">
        <v>45968.0</v>
      </c>
      <c r="C11" s="82" t="s">
        <v>109</v>
      </c>
      <c r="D11" s="82" t="s">
        <v>110</v>
      </c>
      <c r="E11" s="82" t="s">
        <v>111</v>
      </c>
      <c r="F11" s="91" t="s">
        <v>66</v>
      </c>
      <c r="G11" s="92" t="s">
        <v>9</v>
      </c>
      <c r="H11" s="80" t="s">
        <v>9</v>
      </c>
      <c r="I11" s="93">
        <v>3.0</v>
      </c>
      <c r="J11" s="84">
        <v>3.0</v>
      </c>
      <c r="K11" s="85" t="str">
        <f t="array" ref="K11">INDEX(Matriz!$D$6:$H$10,I11,J11)</f>
        <v>Alto</v>
      </c>
      <c r="L11" s="86" t="s">
        <v>112</v>
      </c>
      <c r="M11" s="87" t="s">
        <v>87</v>
      </c>
      <c r="N11" s="81">
        <v>45885.0</v>
      </c>
      <c r="O11" s="80" t="s">
        <v>18</v>
      </c>
      <c r="P11" s="86" t="s">
        <v>113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3">
        <v>10.0</v>
      </c>
      <c r="B12" s="81">
        <v>45968.0</v>
      </c>
      <c r="C12" s="82" t="s">
        <v>77</v>
      </c>
      <c r="D12" s="82" t="s">
        <v>114</v>
      </c>
      <c r="E12" s="82" t="s">
        <v>115</v>
      </c>
      <c r="F12" s="91" t="s">
        <v>66</v>
      </c>
      <c r="G12" s="92" t="s">
        <v>9</v>
      </c>
      <c r="H12" s="80" t="s">
        <v>9</v>
      </c>
      <c r="I12" s="93">
        <v>3.0</v>
      </c>
      <c r="J12" s="84">
        <v>2.0</v>
      </c>
      <c r="K12" s="85" t="str">
        <f t="array" ref="K12">INDEX(Matriz!$D$6:$H$10,I12,J12)</f>
        <v>Medio</v>
      </c>
      <c r="L12" s="86" t="s">
        <v>116</v>
      </c>
      <c r="M12" s="87" t="s">
        <v>68</v>
      </c>
      <c r="N12" s="81">
        <v>45886.0</v>
      </c>
      <c r="O12" s="80" t="s">
        <v>16</v>
      </c>
      <c r="P12" s="86" t="s">
        <v>117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3">
        <v>11.0</v>
      </c>
      <c r="B13" s="81">
        <v>45968.0</v>
      </c>
      <c r="C13" s="82" t="s">
        <v>70</v>
      </c>
      <c r="D13" s="82" t="s">
        <v>118</v>
      </c>
      <c r="E13" s="82" t="s">
        <v>119</v>
      </c>
      <c r="F13" s="83" t="s">
        <v>80</v>
      </c>
      <c r="G13" s="92" t="s">
        <v>9</v>
      </c>
      <c r="H13" s="80" t="s">
        <v>9</v>
      </c>
      <c r="I13" s="93">
        <v>3.0</v>
      </c>
      <c r="J13" s="84">
        <v>2.0</v>
      </c>
      <c r="K13" s="85" t="str">
        <f t="array" ref="K13">INDEX(Matriz!$D$6:$H$10,I13,J13)</f>
        <v>Medio</v>
      </c>
      <c r="L13" s="86" t="s">
        <v>120</v>
      </c>
      <c r="M13" s="87" t="s">
        <v>107</v>
      </c>
      <c r="N13" s="81">
        <v>45887.0</v>
      </c>
      <c r="O13" s="80" t="s">
        <v>16</v>
      </c>
      <c r="P13" s="86" t="s">
        <v>121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3">
        <v>12.0</v>
      </c>
      <c r="B14" s="81">
        <v>45968.0</v>
      </c>
      <c r="C14" s="82" t="s">
        <v>109</v>
      </c>
      <c r="D14" s="82" t="s">
        <v>122</v>
      </c>
      <c r="E14" s="82" t="s">
        <v>123</v>
      </c>
      <c r="F14" s="91" t="s">
        <v>66</v>
      </c>
      <c r="G14" s="92" t="s">
        <v>9</v>
      </c>
      <c r="H14" s="80" t="s">
        <v>9</v>
      </c>
      <c r="I14" s="93">
        <v>3.0</v>
      </c>
      <c r="J14" s="84">
        <v>2.0</v>
      </c>
      <c r="K14" s="85" t="str">
        <f t="array" ref="K14">INDEX(Matriz!$D$6:$H$10,I14,J14)</f>
        <v>Medio</v>
      </c>
      <c r="L14" s="86" t="s">
        <v>124</v>
      </c>
      <c r="M14" s="87" t="s">
        <v>75</v>
      </c>
      <c r="N14" s="81">
        <v>45888.0</v>
      </c>
      <c r="O14" s="80" t="s">
        <v>16</v>
      </c>
      <c r="P14" s="86" t="s">
        <v>125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3">
        <v>13.0</v>
      </c>
      <c r="B15" s="81">
        <v>45968.0</v>
      </c>
      <c r="C15" s="82" t="s">
        <v>83</v>
      </c>
      <c r="D15" s="82" t="s">
        <v>126</v>
      </c>
      <c r="E15" s="82" t="s">
        <v>127</v>
      </c>
      <c r="F15" s="83" t="s">
        <v>80</v>
      </c>
      <c r="G15" s="80" t="s">
        <v>4</v>
      </c>
      <c r="H15" s="80" t="s">
        <v>9</v>
      </c>
      <c r="I15" s="84">
        <v>3.0</v>
      </c>
      <c r="J15" s="84">
        <v>5.0</v>
      </c>
      <c r="K15" s="85" t="str">
        <f t="array" ref="K15">INDEX(Matriz!$D$6:$H$10,I15,J15)</f>
        <v>Muy Alto</v>
      </c>
      <c r="L15" s="86" t="s">
        <v>128</v>
      </c>
      <c r="M15" s="87" t="s">
        <v>87</v>
      </c>
      <c r="N15" s="81">
        <v>45890.0</v>
      </c>
      <c r="O15" s="80" t="s">
        <v>16</v>
      </c>
      <c r="P15" s="86" t="s">
        <v>129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3">
        <v>14.0</v>
      </c>
      <c r="B16" s="81">
        <v>45968.0</v>
      </c>
      <c r="C16" s="82" t="s">
        <v>130</v>
      </c>
      <c r="D16" s="82" t="s">
        <v>131</v>
      </c>
      <c r="E16" s="82" t="s">
        <v>132</v>
      </c>
      <c r="F16" s="91" t="s">
        <v>66</v>
      </c>
      <c r="G16" s="80" t="s">
        <v>11</v>
      </c>
      <c r="H16" s="92" t="s">
        <v>133</v>
      </c>
      <c r="I16" s="84">
        <v>4.0</v>
      </c>
      <c r="J16" s="84">
        <v>2.0</v>
      </c>
      <c r="K16" s="85" t="str">
        <f t="array" ref="K16">INDEX(Matriz!$D$6:$H$10,I16,J16)</f>
        <v>Bajo</v>
      </c>
      <c r="L16" s="86" t="s">
        <v>134</v>
      </c>
      <c r="M16" s="87" t="s">
        <v>87</v>
      </c>
      <c r="N16" s="81">
        <v>45891.0</v>
      </c>
      <c r="O16" s="80" t="s">
        <v>16</v>
      </c>
      <c r="P16" s="86" t="s">
        <v>135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2.75" customHeight="1">
      <c r="A17" s="83">
        <v>15.0</v>
      </c>
      <c r="B17" s="81">
        <v>45968.0</v>
      </c>
      <c r="C17" s="82" t="s">
        <v>103</v>
      </c>
      <c r="D17" s="82" t="s">
        <v>136</v>
      </c>
      <c r="E17" s="82" t="s">
        <v>137</v>
      </c>
      <c r="F17" s="91" t="s">
        <v>66</v>
      </c>
      <c r="G17" s="92" t="s">
        <v>9</v>
      </c>
      <c r="H17" s="80" t="s">
        <v>9</v>
      </c>
      <c r="I17" s="84">
        <v>4.0</v>
      </c>
      <c r="J17" s="84">
        <v>2.0</v>
      </c>
      <c r="K17" s="85" t="str">
        <f t="array" ref="K17">INDEX(Matriz!$D$6:$H$10,I17,J17)</f>
        <v>Bajo</v>
      </c>
      <c r="L17" s="86" t="s">
        <v>138</v>
      </c>
      <c r="M17" s="87" t="s">
        <v>87</v>
      </c>
      <c r="N17" s="81">
        <v>45892.0</v>
      </c>
      <c r="O17" s="80" t="s">
        <v>18</v>
      </c>
      <c r="P17" s="86" t="s">
        <v>139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3">
        <v>16.0</v>
      </c>
      <c r="B18" s="81">
        <v>45968.0</v>
      </c>
      <c r="C18" s="82" t="s">
        <v>89</v>
      </c>
      <c r="D18" s="82" t="s">
        <v>140</v>
      </c>
      <c r="E18" s="82" t="s">
        <v>141</v>
      </c>
      <c r="F18" s="91" t="s">
        <v>66</v>
      </c>
      <c r="G18" s="92" t="s">
        <v>9</v>
      </c>
      <c r="H18" s="80" t="s">
        <v>9</v>
      </c>
      <c r="I18" s="84">
        <v>4.0</v>
      </c>
      <c r="J18" s="84">
        <v>2.0</v>
      </c>
      <c r="K18" s="85" t="str">
        <f t="array" ref="K18">INDEX(Matriz!$D$6:$H$10,I18,J18)</f>
        <v>Bajo</v>
      </c>
      <c r="L18" s="86" t="s">
        <v>142</v>
      </c>
      <c r="M18" s="87" t="s">
        <v>68</v>
      </c>
      <c r="N18" s="81">
        <v>45893.0</v>
      </c>
      <c r="O18" s="80" t="s">
        <v>18</v>
      </c>
      <c r="P18" s="86" t="s">
        <v>143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3">
        <v>17.0</v>
      </c>
      <c r="B19" s="81">
        <v>45968.0</v>
      </c>
      <c r="C19" s="82" t="s">
        <v>98</v>
      </c>
      <c r="D19" s="82" t="s">
        <v>144</v>
      </c>
      <c r="E19" s="82" t="s">
        <v>145</v>
      </c>
      <c r="F19" s="83" t="s">
        <v>73</v>
      </c>
      <c r="G19" s="80" t="s">
        <v>11</v>
      </c>
      <c r="H19" s="80" t="s">
        <v>9</v>
      </c>
      <c r="I19" s="84">
        <v>4.0</v>
      </c>
      <c r="J19" s="84">
        <v>2.0</v>
      </c>
      <c r="K19" s="85" t="str">
        <f t="array" ref="K19">INDEX(Matriz!$D$6:$H$10,I19,J19)</f>
        <v>Bajo</v>
      </c>
      <c r="L19" s="86" t="s">
        <v>146</v>
      </c>
      <c r="M19" s="87" t="s">
        <v>107</v>
      </c>
      <c r="N19" s="81">
        <v>45894.0</v>
      </c>
      <c r="O19" s="80" t="s">
        <v>16</v>
      </c>
      <c r="P19" s="86" t="s">
        <v>147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3">
        <v>18.0</v>
      </c>
      <c r="B20" s="81">
        <v>45968.0</v>
      </c>
      <c r="C20" s="82" t="s">
        <v>77</v>
      </c>
      <c r="D20" s="82" t="s">
        <v>148</v>
      </c>
      <c r="E20" s="82" t="s">
        <v>149</v>
      </c>
      <c r="F20" s="83" t="s">
        <v>80</v>
      </c>
      <c r="G20" s="92" t="s">
        <v>9</v>
      </c>
      <c r="H20" s="80" t="s">
        <v>9</v>
      </c>
      <c r="I20" s="84">
        <v>2.0</v>
      </c>
      <c r="J20" s="84">
        <v>2.0</v>
      </c>
      <c r="K20" s="85" t="str">
        <f t="array" ref="K20">INDEX(Matriz!$D$6:$H$10,I20,J20)</f>
        <v>Medio</v>
      </c>
      <c r="L20" s="86" t="s">
        <v>150</v>
      </c>
      <c r="M20" s="87" t="s">
        <v>68</v>
      </c>
      <c r="N20" s="81">
        <v>45895.0</v>
      </c>
      <c r="O20" s="80" t="s">
        <v>16</v>
      </c>
      <c r="P20" s="86" t="s">
        <v>151</v>
      </c>
    </row>
    <row r="21" ht="15.75" customHeight="1">
      <c r="A21" s="83">
        <v>19.0</v>
      </c>
      <c r="B21" s="81">
        <v>45968.0</v>
      </c>
      <c r="C21" s="82" t="s">
        <v>109</v>
      </c>
      <c r="D21" s="82" t="s">
        <v>152</v>
      </c>
      <c r="E21" s="82" t="s">
        <v>153</v>
      </c>
      <c r="F21" s="83" t="s">
        <v>66</v>
      </c>
      <c r="G21" s="92" t="s">
        <v>9</v>
      </c>
      <c r="H21" s="80" t="s">
        <v>9</v>
      </c>
      <c r="I21" s="93">
        <v>3.0</v>
      </c>
      <c r="J21" s="84">
        <v>3.0</v>
      </c>
      <c r="K21" s="85" t="str">
        <f t="array" ref="K21">INDEX(Matriz!$D$6:$H$10,I21,J21)</f>
        <v>Alto</v>
      </c>
      <c r="L21" s="86" t="s">
        <v>154</v>
      </c>
      <c r="M21" s="87" t="s">
        <v>75</v>
      </c>
      <c r="N21" s="81">
        <v>45906.0</v>
      </c>
      <c r="O21" s="80" t="s">
        <v>16</v>
      </c>
      <c r="P21" s="86" t="s">
        <v>147</v>
      </c>
    </row>
    <row r="22" ht="15.75" customHeight="1">
      <c r="A22" s="83">
        <v>20.0</v>
      </c>
      <c r="B22" s="81">
        <v>45968.0</v>
      </c>
      <c r="C22" s="82" t="s">
        <v>70</v>
      </c>
      <c r="D22" s="82" t="s">
        <v>155</v>
      </c>
      <c r="E22" s="82" t="s">
        <v>156</v>
      </c>
      <c r="F22" s="83" t="s">
        <v>73</v>
      </c>
      <c r="G22" s="92" t="s">
        <v>9</v>
      </c>
      <c r="H22" s="80" t="s">
        <v>9</v>
      </c>
      <c r="I22" s="84">
        <v>3.0</v>
      </c>
      <c r="J22" s="84">
        <v>2.0</v>
      </c>
      <c r="K22" s="85" t="str">
        <f t="array" ref="K22">INDEX(Matriz!$D$6:$H$10,I22,J22)</f>
        <v>Medio</v>
      </c>
      <c r="L22" s="86" t="s">
        <v>157</v>
      </c>
      <c r="M22" s="87" t="s">
        <v>68</v>
      </c>
      <c r="N22" s="81">
        <v>45907.0</v>
      </c>
      <c r="O22" s="80" t="s">
        <v>16</v>
      </c>
      <c r="P22" s="86" t="s">
        <v>147</v>
      </c>
    </row>
    <row r="23" ht="15.75" customHeight="1">
      <c r="A23" s="83">
        <v>21.0</v>
      </c>
      <c r="B23" s="81">
        <v>45968.0</v>
      </c>
      <c r="C23" s="82" t="s">
        <v>77</v>
      </c>
      <c r="D23" s="82" t="s">
        <v>158</v>
      </c>
      <c r="E23" s="82" t="s">
        <v>159</v>
      </c>
      <c r="F23" s="83" t="s">
        <v>80</v>
      </c>
      <c r="G23" s="92" t="s">
        <v>9</v>
      </c>
      <c r="H23" s="80" t="s">
        <v>9</v>
      </c>
      <c r="I23" s="93">
        <v>3.0</v>
      </c>
      <c r="J23" s="84">
        <v>2.0</v>
      </c>
      <c r="K23" s="85" t="str">
        <f t="array" ref="K23">INDEX(Matriz!$D$6:$H$10,I23,J23)</f>
        <v>Medio</v>
      </c>
      <c r="L23" s="86" t="s">
        <v>160</v>
      </c>
      <c r="M23" s="87" t="s">
        <v>68</v>
      </c>
      <c r="N23" s="81">
        <v>45908.0</v>
      </c>
      <c r="O23" s="92" t="s">
        <v>28</v>
      </c>
      <c r="P23" s="86" t="s">
        <v>161</v>
      </c>
    </row>
    <row r="24" ht="15.75" customHeight="1">
      <c r="A24" s="83">
        <v>22.0</v>
      </c>
      <c r="B24" s="81">
        <v>45968.0</v>
      </c>
      <c r="C24" s="82" t="s">
        <v>83</v>
      </c>
      <c r="D24" s="82" t="s">
        <v>162</v>
      </c>
      <c r="E24" s="82" t="s">
        <v>163</v>
      </c>
      <c r="F24" s="83" t="s">
        <v>80</v>
      </c>
      <c r="G24" s="92" t="s">
        <v>9</v>
      </c>
      <c r="H24" s="80" t="s">
        <v>4</v>
      </c>
      <c r="I24" s="93">
        <v>3.0</v>
      </c>
      <c r="J24" s="84">
        <v>3.0</v>
      </c>
      <c r="K24" s="85" t="str">
        <f t="array" ref="K24">INDEX(Matriz!$D$6:$H$10,I24,J24)</f>
        <v>Alto</v>
      </c>
      <c r="L24" s="86" t="s">
        <v>164</v>
      </c>
      <c r="M24" s="87" t="s">
        <v>75</v>
      </c>
      <c r="N24" s="81">
        <v>45909.0</v>
      </c>
      <c r="O24" s="80" t="s">
        <v>16</v>
      </c>
      <c r="P24" s="86" t="s">
        <v>165</v>
      </c>
    </row>
    <row r="25" ht="15.75" customHeight="1">
      <c r="A25" s="83">
        <v>23.0</v>
      </c>
      <c r="B25" s="81">
        <v>45968.0</v>
      </c>
      <c r="C25" s="82" t="s">
        <v>80</v>
      </c>
      <c r="D25" s="82" t="s">
        <v>166</v>
      </c>
      <c r="E25" s="82" t="s">
        <v>167</v>
      </c>
      <c r="F25" s="83" t="s">
        <v>80</v>
      </c>
      <c r="G25" s="80" t="s">
        <v>11</v>
      </c>
      <c r="H25" s="80" t="s">
        <v>9</v>
      </c>
      <c r="I25" s="84">
        <v>3.0</v>
      </c>
      <c r="J25" s="84">
        <v>1.0</v>
      </c>
      <c r="K25" s="85" t="str">
        <f t="array" ref="K25">INDEX(Matriz!$D$6:$H$10,I25,J25)</f>
        <v>Bajo</v>
      </c>
      <c r="L25" s="86" t="s">
        <v>168</v>
      </c>
      <c r="M25" s="87" t="s">
        <v>68</v>
      </c>
      <c r="N25" s="81">
        <v>45910.0</v>
      </c>
      <c r="O25" s="92" t="s">
        <v>28</v>
      </c>
      <c r="P25" s="86" t="s">
        <v>169</v>
      </c>
    </row>
    <row r="26" ht="15.75" customHeight="1">
      <c r="A26" s="83">
        <v>24.0</v>
      </c>
      <c r="B26" s="81">
        <v>45968.0</v>
      </c>
      <c r="C26" s="82" t="s">
        <v>89</v>
      </c>
      <c r="D26" s="82" t="s">
        <v>170</v>
      </c>
      <c r="E26" s="82" t="s">
        <v>171</v>
      </c>
      <c r="F26" s="91" t="s">
        <v>66</v>
      </c>
      <c r="G26" s="92" t="s">
        <v>9</v>
      </c>
      <c r="H26" s="80" t="s">
        <v>9</v>
      </c>
      <c r="I26" s="93">
        <v>3.0</v>
      </c>
      <c r="J26" s="84">
        <v>2.0</v>
      </c>
      <c r="K26" s="85" t="str">
        <f t="array" ref="K26">INDEX(Matriz!$D$6:$H$10,I26,J26)</f>
        <v>Medio</v>
      </c>
      <c r="L26" s="86" t="s">
        <v>172</v>
      </c>
      <c r="M26" s="87" t="s">
        <v>87</v>
      </c>
      <c r="N26" s="81">
        <v>45911.0</v>
      </c>
      <c r="O26" s="80" t="s">
        <v>16</v>
      </c>
      <c r="P26" s="86" t="s">
        <v>173</v>
      </c>
    </row>
    <row r="27" ht="15.75" customHeight="1">
      <c r="A27" s="83">
        <v>25.0</v>
      </c>
      <c r="B27" s="81">
        <v>45968.0</v>
      </c>
      <c r="C27" s="82" t="s">
        <v>103</v>
      </c>
      <c r="D27" s="82" t="s">
        <v>174</v>
      </c>
      <c r="E27" s="82" t="s">
        <v>175</v>
      </c>
      <c r="F27" s="91" t="s">
        <v>66</v>
      </c>
      <c r="G27" s="92" t="s">
        <v>9</v>
      </c>
      <c r="H27" s="80" t="s">
        <v>9</v>
      </c>
      <c r="I27" s="93">
        <v>3.0</v>
      </c>
      <c r="J27" s="84">
        <v>3.0</v>
      </c>
      <c r="K27" s="85" t="str">
        <f t="array" ref="K27">INDEX(Matriz!$D$6:$H$10,I27,J27)</f>
        <v>Alto</v>
      </c>
      <c r="L27" s="86" t="s">
        <v>176</v>
      </c>
      <c r="M27" s="87" t="s">
        <v>87</v>
      </c>
      <c r="N27" s="81">
        <v>45912.0</v>
      </c>
      <c r="O27" s="92" t="s">
        <v>28</v>
      </c>
      <c r="P27" s="86" t="s">
        <v>177</v>
      </c>
    </row>
    <row r="28" ht="15.75" customHeight="1">
      <c r="A28" s="83">
        <v>26.0</v>
      </c>
      <c r="B28" s="81">
        <v>45968.0</v>
      </c>
      <c r="C28" s="82" t="s">
        <v>130</v>
      </c>
      <c r="D28" s="82" t="s">
        <v>178</v>
      </c>
      <c r="E28" s="82" t="s">
        <v>179</v>
      </c>
      <c r="F28" s="83" t="s">
        <v>80</v>
      </c>
      <c r="G28" s="92" t="s">
        <v>9</v>
      </c>
      <c r="H28" s="80" t="s">
        <v>9</v>
      </c>
      <c r="I28" s="84">
        <v>4.0</v>
      </c>
      <c r="J28" s="84">
        <v>2.0</v>
      </c>
      <c r="K28" s="85" t="str">
        <f t="array" ref="K28">INDEX(Matriz!$D$6:$H$10,I28,J28)</f>
        <v>Bajo</v>
      </c>
      <c r="L28" s="86" t="s">
        <v>180</v>
      </c>
      <c r="M28" s="87" t="s">
        <v>68</v>
      </c>
      <c r="N28" s="81">
        <v>45913.0</v>
      </c>
      <c r="O28" s="80" t="s">
        <v>16</v>
      </c>
      <c r="P28" s="86" t="s">
        <v>181</v>
      </c>
    </row>
    <row r="29" ht="15.75" customHeight="1">
      <c r="A29" s="83">
        <v>27.0</v>
      </c>
      <c r="B29" s="81">
        <v>45968.0</v>
      </c>
      <c r="C29" s="82" t="s">
        <v>98</v>
      </c>
      <c r="D29" s="82" t="s">
        <v>182</v>
      </c>
      <c r="E29" s="82" t="s">
        <v>183</v>
      </c>
      <c r="F29" s="83" t="s">
        <v>73</v>
      </c>
      <c r="G29" s="92" t="s">
        <v>9</v>
      </c>
      <c r="H29" s="80" t="s">
        <v>133</v>
      </c>
      <c r="I29" s="84">
        <v>2.0</v>
      </c>
      <c r="J29" s="84">
        <v>2.0</v>
      </c>
      <c r="K29" s="85" t="str">
        <f t="array" ref="K29">INDEX(Matriz!$D$6:$H$10,I29,J29)</f>
        <v>Medio</v>
      </c>
      <c r="L29" s="86" t="s">
        <v>184</v>
      </c>
      <c r="M29" s="87" t="s">
        <v>107</v>
      </c>
      <c r="N29" s="81">
        <v>45914.0</v>
      </c>
      <c r="O29" s="80" t="s">
        <v>17</v>
      </c>
      <c r="P29" s="86" t="s">
        <v>185</v>
      </c>
    </row>
    <row r="30" ht="15.75" customHeight="1">
      <c r="A30" s="83">
        <v>28.0</v>
      </c>
      <c r="B30" s="81">
        <v>45968.0</v>
      </c>
      <c r="C30" s="82" t="s">
        <v>77</v>
      </c>
      <c r="D30" s="82" t="s">
        <v>186</v>
      </c>
      <c r="E30" s="82" t="s">
        <v>187</v>
      </c>
      <c r="F30" s="83" t="s">
        <v>80</v>
      </c>
      <c r="G30" s="92" t="s">
        <v>9</v>
      </c>
      <c r="H30" s="80" t="s">
        <v>9</v>
      </c>
      <c r="I30" s="84">
        <v>3.0</v>
      </c>
      <c r="J30" s="84">
        <v>2.0</v>
      </c>
      <c r="K30" s="85" t="str">
        <f t="array" ref="K30">INDEX(Matriz!$D$6:$H$10,I30,J30)</f>
        <v>Medio</v>
      </c>
      <c r="L30" s="86" t="s">
        <v>188</v>
      </c>
      <c r="M30" s="87" t="s">
        <v>87</v>
      </c>
      <c r="N30" s="81">
        <v>45915.0</v>
      </c>
      <c r="O30" s="80" t="s">
        <v>16</v>
      </c>
      <c r="P30" s="94" t="s">
        <v>189</v>
      </c>
    </row>
    <row r="31" ht="15.75" customHeight="1">
      <c r="A31" s="83">
        <v>29.0</v>
      </c>
      <c r="B31" s="81">
        <v>45968.0</v>
      </c>
      <c r="C31" s="82" t="s">
        <v>109</v>
      </c>
      <c r="D31" s="82" t="s">
        <v>190</v>
      </c>
      <c r="E31" s="82" t="s">
        <v>191</v>
      </c>
      <c r="F31" s="91" t="s">
        <v>66</v>
      </c>
      <c r="G31" s="92" t="s">
        <v>9</v>
      </c>
      <c r="H31" s="80" t="s">
        <v>9</v>
      </c>
      <c r="I31" s="84">
        <v>4.0</v>
      </c>
      <c r="J31" s="84">
        <v>3.0</v>
      </c>
      <c r="K31" s="85" t="str">
        <f t="array" ref="K31">INDEX(Matriz!$D$6:$H$10,I31,J31)</f>
        <v>Medio</v>
      </c>
      <c r="L31" s="86" t="s">
        <v>192</v>
      </c>
      <c r="M31" s="87" t="s">
        <v>75</v>
      </c>
      <c r="N31" s="81">
        <v>45916.0</v>
      </c>
      <c r="O31" s="80" t="s">
        <v>16</v>
      </c>
      <c r="P31" s="94" t="s">
        <v>193</v>
      </c>
    </row>
    <row r="32" ht="15.75" customHeight="1">
      <c r="A32" s="83">
        <v>30.0</v>
      </c>
      <c r="B32" s="81">
        <v>45968.0</v>
      </c>
      <c r="C32" s="82" t="s">
        <v>77</v>
      </c>
      <c r="D32" s="82" t="s">
        <v>194</v>
      </c>
      <c r="E32" s="82" t="s">
        <v>195</v>
      </c>
      <c r="F32" s="83" t="s">
        <v>80</v>
      </c>
      <c r="G32" s="80" t="s">
        <v>11</v>
      </c>
      <c r="H32" s="80" t="s">
        <v>9</v>
      </c>
      <c r="I32" s="93">
        <v>3.0</v>
      </c>
      <c r="J32" s="84">
        <v>2.0</v>
      </c>
      <c r="K32" s="85" t="str">
        <f t="array" ref="K32">INDEX(Matriz!$D$6:$H$10,I32,J32)</f>
        <v>Medio</v>
      </c>
      <c r="L32" s="86" t="s">
        <v>196</v>
      </c>
      <c r="M32" s="87" t="s">
        <v>68</v>
      </c>
      <c r="N32" s="81">
        <v>45917.0</v>
      </c>
      <c r="O32" s="80" t="s">
        <v>16</v>
      </c>
      <c r="P32" s="86" t="s">
        <v>197</v>
      </c>
    </row>
    <row r="33" ht="15.75" customHeight="1">
      <c r="A33" s="83">
        <v>31.0</v>
      </c>
      <c r="B33" s="81">
        <v>45968.0</v>
      </c>
      <c r="C33" s="82" t="s">
        <v>83</v>
      </c>
      <c r="D33" s="82" t="s">
        <v>198</v>
      </c>
      <c r="E33" s="82" t="s">
        <v>199</v>
      </c>
      <c r="F33" s="83" t="s">
        <v>80</v>
      </c>
      <c r="G33" s="80" t="s">
        <v>4</v>
      </c>
      <c r="H33" s="80" t="s">
        <v>133</v>
      </c>
      <c r="I33" s="84">
        <v>4.0</v>
      </c>
      <c r="J33" s="84">
        <v>5.0</v>
      </c>
      <c r="K33" s="85" t="str">
        <f t="array" ref="K33">INDEX(Matriz!$D$6:$H$10,I33,J33)</f>
        <v>Alto</v>
      </c>
      <c r="L33" s="86" t="s">
        <v>200</v>
      </c>
      <c r="M33" s="87" t="s">
        <v>68</v>
      </c>
      <c r="N33" s="81">
        <v>45918.0</v>
      </c>
      <c r="O33" s="80" t="s">
        <v>16</v>
      </c>
      <c r="P33" s="86" t="s">
        <v>201</v>
      </c>
    </row>
    <row r="34" ht="15.75" customHeight="1">
      <c r="A34" s="83">
        <v>32.0</v>
      </c>
      <c r="B34" s="81">
        <v>45968.0</v>
      </c>
      <c r="C34" s="82" t="s">
        <v>103</v>
      </c>
      <c r="D34" s="82" t="s">
        <v>202</v>
      </c>
      <c r="E34" s="82" t="s">
        <v>203</v>
      </c>
      <c r="F34" s="91" t="s">
        <v>66</v>
      </c>
      <c r="G34" s="80" t="s">
        <v>11</v>
      </c>
      <c r="H34" s="80" t="s">
        <v>9</v>
      </c>
      <c r="I34" s="84">
        <v>2.0</v>
      </c>
      <c r="J34" s="84">
        <v>2.0</v>
      </c>
      <c r="K34" s="85" t="str">
        <f t="array" ref="K34">INDEX(Matriz!$D$6:$H$10,I34,J34)</f>
        <v>Medio</v>
      </c>
      <c r="L34" s="86" t="s">
        <v>204</v>
      </c>
      <c r="M34" s="87" t="s">
        <v>68</v>
      </c>
      <c r="N34" s="81">
        <v>45919.0</v>
      </c>
      <c r="O34" s="80" t="s">
        <v>16</v>
      </c>
      <c r="P34" s="86" t="s">
        <v>205</v>
      </c>
    </row>
    <row r="35" ht="15.75" customHeight="1">
      <c r="A35" s="83">
        <v>33.0</v>
      </c>
      <c r="B35" s="81">
        <v>45968.0</v>
      </c>
      <c r="C35" s="82" t="s">
        <v>89</v>
      </c>
      <c r="D35" s="82" t="s">
        <v>206</v>
      </c>
      <c r="E35" s="82" t="s">
        <v>207</v>
      </c>
      <c r="F35" s="91" t="s">
        <v>66</v>
      </c>
      <c r="G35" s="92" t="s">
        <v>9</v>
      </c>
      <c r="H35" s="80" t="s">
        <v>9</v>
      </c>
      <c r="I35" s="93">
        <v>3.0</v>
      </c>
      <c r="J35" s="84">
        <v>3.0</v>
      </c>
      <c r="K35" s="85" t="str">
        <f t="array" ref="K35">INDEX(Matriz!$D$6:$H$10,I35,J35)</f>
        <v>Alto</v>
      </c>
      <c r="L35" s="86" t="s">
        <v>208</v>
      </c>
      <c r="M35" s="87" t="s">
        <v>87</v>
      </c>
      <c r="N35" s="81">
        <v>45920.0</v>
      </c>
      <c r="O35" s="80" t="s">
        <v>16</v>
      </c>
      <c r="P35" s="86" t="s">
        <v>209</v>
      </c>
    </row>
    <row r="36" ht="15.75" customHeight="1">
      <c r="A36" s="83">
        <v>34.0</v>
      </c>
      <c r="B36" s="81">
        <v>45968.0</v>
      </c>
      <c r="C36" s="82" t="s">
        <v>80</v>
      </c>
      <c r="D36" s="82" t="s">
        <v>210</v>
      </c>
      <c r="E36" s="82" t="s">
        <v>211</v>
      </c>
      <c r="F36" s="83" t="s">
        <v>80</v>
      </c>
      <c r="G36" s="80" t="s">
        <v>11</v>
      </c>
      <c r="H36" s="80" t="s">
        <v>9</v>
      </c>
      <c r="I36" s="84">
        <v>3.0</v>
      </c>
      <c r="J36" s="84">
        <v>2.0</v>
      </c>
      <c r="K36" s="85" t="str">
        <f t="array" ref="K36">INDEX(Matriz!$D$6:$H$10,I36,J36)</f>
        <v>Medio</v>
      </c>
      <c r="L36" s="86" t="s">
        <v>212</v>
      </c>
      <c r="M36" s="87" t="s">
        <v>75</v>
      </c>
      <c r="N36" s="81">
        <v>45923.0</v>
      </c>
      <c r="O36" s="80" t="s">
        <v>16</v>
      </c>
      <c r="P36" s="86" t="s">
        <v>213</v>
      </c>
    </row>
    <row r="37" ht="15.75" customHeight="1">
      <c r="A37" s="83">
        <v>35.0</v>
      </c>
      <c r="B37" s="81">
        <v>45968.0</v>
      </c>
      <c r="C37" s="82" t="s">
        <v>77</v>
      </c>
      <c r="D37" s="82" t="s">
        <v>214</v>
      </c>
      <c r="E37" s="82" t="s">
        <v>215</v>
      </c>
      <c r="F37" s="91" t="s">
        <v>66</v>
      </c>
      <c r="G37" s="92" t="s">
        <v>9</v>
      </c>
      <c r="H37" s="92" t="s">
        <v>133</v>
      </c>
      <c r="I37" s="93">
        <v>3.0</v>
      </c>
      <c r="J37" s="84">
        <v>3.0</v>
      </c>
      <c r="K37" s="85" t="str">
        <f t="array" ref="K37">INDEX(Matriz!$D$6:$H$10,I37,J37)</f>
        <v>Alto</v>
      </c>
      <c r="L37" s="86" t="s">
        <v>216</v>
      </c>
      <c r="M37" s="87" t="s">
        <v>87</v>
      </c>
      <c r="N37" s="81">
        <v>45924.0</v>
      </c>
      <c r="O37" s="80" t="s">
        <v>16</v>
      </c>
      <c r="P37" s="86" t="s">
        <v>217</v>
      </c>
    </row>
    <row r="38" ht="15.75" customHeight="1">
      <c r="A38" s="83">
        <v>36.0</v>
      </c>
      <c r="B38" s="81">
        <v>45968.0</v>
      </c>
      <c r="C38" s="82" t="s">
        <v>63</v>
      </c>
      <c r="D38" s="82" t="s">
        <v>218</v>
      </c>
      <c r="E38" s="82" t="s">
        <v>219</v>
      </c>
      <c r="F38" s="91" t="s">
        <v>66</v>
      </c>
      <c r="G38" s="92" t="s">
        <v>9</v>
      </c>
      <c r="H38" s="80" t="s">
        <v>9</v>
      </c>
      <c r="I38" s="93">
        <v>3.0</v>
      </c>
      <c r="J38" s="84">
        <v>3.0</v>
      </c>
      <c r="K38" s="85" t="str">
        <f t="array" ref="K38">INDEX(Matriz!$D$6:$H$10,I38,J38)</f>
        <v>Alto</v>
      </c>
      <c r="L38" s="86" t="s">
        <v>220</v>
      </c>
      <c r="M38" s="87" t="s">
        <v>87</v>
      </c>
      <c r="N38" s="81">
        <v>45925.0</v>
      </c>
      <c r="O38" s="80" t="s">
        <v>16</v>
      </c>
      <c r="P38" s="94" t="s">
        <v>221</v>
      </c>
    </row>
    <row r="39" ht="15.75" customHeight="1">
      <c r="A39" s="83">
        <v>37.0</v>
      </c>
      <c r="B39" s="81">
        <v>45968.0</v>
      </c>
      <c r="C39" s="82" t="s">
        <v>77</v>
      </c>
      <c r="D39" s="82" t="s">
        <v>222</v>
      </c>
      <c r="E39" s="82" t="s">
        <v>223</v>
      </c>
      <c r="F39" s="83" t="s">
        <v>80</v>
      </c>
      <c r="G39" s="80" t="s">
        <v>11</v>
      </c>
      <c r="H39" s="80" t="s">
        <v>9</v>
      </c>
      <c r="I39" s="93">
        <v>3.0</v>
      </c>
      <c r="J39" s="84">
        <v>2.0</v>
      </c>
      <c r="K39" s="85" t="str">
        <f t="array" ref="K39">INDEX(Matriz!$D$6:$H$10,I39,J39)</f>
        <v>Medio</v>
      </c>
      <c r="L39" s="86" t="s">
        <v>224</v>
      </c>
      <c r="M39" s="87" t="s">
        <v>68</v>
      </c>
      <c r="N39" s="81">
        <v>45926.0</v>
      </c>
      <c r="O39" s="80" t="s">
        <v>16</v>
      </c>
      <c r="P39" s="94" t="s">
        <v>225</v>
      </c>
    </row>
    <row r="40" ht="15.75" customHeight="1">
      <c r="A40" s="83">
        <v>38.0</v>
      </c>
      <c r="B40" s="81">
        <v>45968.0</v>
      </c>
      <c r="C40" s="82" t="s">
        <v>70</v>
      </c>
      <c r="D40" s="82" t="s">
        <v>226</v>
      </c>
      <c r="E40" s="82" t="s">
        <v>227</v>
      </c>
      <c r="F40" s="83" t="s">
        <v>73</v>
      </c>
      <c r="G40" s="92" t="s">
        <v>9</v>
      </c>
      <c r="H40" s="80" t="s">
        <v>9</v>
      </c>
      <c r="I40" s="93">
        <v>3.0</v>
      </c>
      <c r="J40" s="84">
        <v>3.0</v>
      </c>
      <c r="K40" s="85" t="str">
        <f t="array" ref="K40">INDEX(Matriz!$D$6:$H$10,I40,J40)</f>
        <v>Alto</v>
      </c>
      <c r="L40" s="86" t="s">
        <v>228</v>
      </c>
      <c r="M40" s="87" t="s">
        <v>75</v>
      </c>
      <c r="N40" s="81">
        <v>45927.0</v>
      </c>
      <c r="O40" s="80" t="s">
        <v>16</v>
      </c>
      <c r="P40" s="94" t="s">
        <v>229</v>
      </c>
    </row>
    <row r="41" ht="15.75" customHeight="1">
      <c r="A41" s="83">
        <v>39.0</v>
      </c>
      <c r="B41" s="81">
        <v>45968.0</v>
      </c>
      <c r="C41" s="82" t="s">
        <v>80</v>
      </c>
      <c r="D41" s="82" t="s">
        <v>230</v>
      </c>
      <c r="E41" s="82" t="s">
        <v>231</v>
      </c>
      <c r="F41" s="83" t="s">
        <v>80</v>
      </c>
      <c r="G41" s="80" t="s">
        <v>11</v>
      </c>
      <c r="H41" s="80" t="s">
        <v>9</v>
      </c>
      <c r="I41" s="84">
        <v>2.0</v>
      </c>
      <c r="J41" s="84">
        <v>3.0</v>
      </c>
      <c r="K41" s="85" t="str">
        <f t="array" ref="K41">INDEX(Matriz!$D$6:$H$10,I41,J41)</f>
        <v>Alto</v>
      </c>
      <c r="L41" s="86" t="s">
        <v>232</v>
      </c>
      <c r="M41" s="87" t="s">
        <v>87</v>
      </c>
      <c r="N41" s="81">
        <v>45928.0</v>
      </c>
      <c r="O41" s="80" t="s">
        <v>16</v>
      </c>
      <c r="P41" s="94" t="s">
        <v>233</v>
      </c>
    </row>
    <row r="42" ht="15.75" customHeight="1">
      <c r="A42" s="83">
        <v>40.0</v>
      </c>
      <c r="B42" s="81">
        <v>45968.0</v>
      </c>
      <c r="C42" s="82" t="s">
        <v>103</v>
      </c>
      <c r="D42" s="82" t="s">
        <v>234</v>
      </c>
      <c r="E42" s="82" t="s">
        <v>235</v>
      </c>
      <c r="F42" s="91" t="s">
        <v>66</v>
      </c>
      <c r="G42" s="92" t="s">
        <v>9</v>
      </c>
      <c r="H42" s="80" t="s">
        <v>9</v>
      </c>
      <c r="I42" s="93">
        <v>3.0</v>
      </c>
      <c r="J42" s="84">
        <v>3.0</v>
      </c>
      <c r="K42" s="85" t="str">
        <f t="array" ref="K42">INDEX(Matriz!$D$6:$H$10,I42,J42)</f>
        <v>Alto</v>
      </c>
      <c r="L42" s="86" t="s">
        <v>236</v>
      </c>
      <c r="M42" s="87" t="s">
        <v>107</v>
      </c>
      <c r="N42" s="81">
        <v>45929.0</v>
      </c>
      <c r="O42" s="92" t="s">
        <v>28</v>
      </c>
      <c r="P42" s="94" t="s">
        <v>237</v>
      </c>
    </row>
    <row r="43" ht="15.75" customHeight="1">
      <c r="A43" s="83">
        <v>41.0</v>
      </c>
      <c r="B43" s="81">
        <v>45968.0</v>
      </c>
      <c r="C43" s="82" t="s">
        <v>89</v>
      </c>
      <c r="D43" s="82" t="s">
        <v>238</v>
      </c>
      <c r="E43" s="82" t="s">
        <v>239</v>
      </c>
      <c r="F43" s="91" t="s">
        <v>66</v>
      </c>
      <c r="G43" s="80" t="s">
        <v>11</v>
      </c>
      <c r="H43" s="80" t="s">
        <v>9</v>
      </c>
      <c r="I43" s="84">
        <v>3.0</v>
      </c>
      <c r="J43" s="84">
        <v>2.0</v>
      </c>
      <c r="K43" s="85" t="str">
        <f t="array" ref="K43">INDEX(Matriz!$D$6:$H$10,I43,J43)</f>
        <v>Medio</v>
      </c>
      <c r="L43" s="86" t="s">
        <v>240</v>
      </c>
      <c r="M43" s="87" t="s">
        <v>68</v>
      </c>
      <c r="N43" s="81">
        <v>45930.0</v>
      </c>
      <c r="O43" s="80" t="s">
        <v>16</v>
      </c>
      <c r="P43" s="94" t="s">
        <v>241</v>
      </c>
    </row>
    <row r="44" ht="15.75" customHeight="1">
      <c r="A44" s="83">
        <v>42.0</v>
      </c>
      <c r="B44" s="81">
        <v>45968.0</v>
      </c>
      <c r="C44" s="82" t="s">
        <v>109</v>
      </c>
      <c r="D44" s="82" t="s">
        <v>242</v>
      </c>
      <c r="E44" s="82" t="s">
        <v>243</v>
      </c>
      <c r="F44" s="91" t="s">
        <v>66</v>
      </c>
      <c r="G44" s="80" t="s">
        <v>11</v>
      </c>
      <c r="H44" s="80" t="s">
        <v>9</v>
      </c>
      <c r="I44" s="84">
        <v>2.0</v>
      </c>
      <c r="J44" s="84">
        <v>3.0</v>
      </c>
      <c r="K44" s="85" t="str">
        <f t="array" ref="K44">INDEX(Matriz!$D$6:$H$10,I44,J44)</f>
        <v>Alto</v>
      </c>
      <c r="L44" s="86" t="s">
        <v>244</v>
      </c>
      <c r="M44" s="87" t="s">
        <v>68</v>
      </c>
      <c r="N44" s="81">
        <v>45931.0</v>
      </c>
      <c r="O44" s="80" t="s">
        <v>16</v>
      </c>
      <c r="P44" s="94" t="s">
        <v>245</v>
      </c>
    </row>
    <row r="45" ht="15.75" customHeight="1">
      <c r="A45" s="83">
        <v>43.0</v>
      </c>
      <c r="B45" s="81">
        <v>45968.0</v>
      </c>
      <c r="C45" s="82" t="s">
        <v>98</v>
      </c>
      <c r="D45" s="82" t="s">
        <v>246</v>
      </c>
      <c r="E45" s="82" t="s">
        <v>247</v>
      </c>
      <c r="F45" s="91" t="s">
        <v>66</v>
      </c>
      <c r="G45" s="92" t="s">
        <v>9</v>
      </c>
      <c r="H45" s="80" t="s">
        <v>9</v>
      </c>
      <c r="I45" s="84">
        <v>2.0</v>
      </c>
      <c r="J45" s="84">
        <v>2.0</v>
      </c>
      <c r="K45" s="85" t="str">
        <f t="array" ref="K45">INDEX(Matriz!$D$6:$H$10,I45,J45)</f>
        <v>Medio</v>
      </c>
      <c r="L45" s="86" t="s">
        <v>248</v>
      </c>
      <c r="M45" s="86" t="s">
        <v>87</v>
      </c>
      <c r="N45" s="81">
        <v>45933.0</v>
      </c>
      <c r="O45" s="80" t="s">
        <v>17</v>
      </c>
      <c r="P45" s="94" t="s">
        <v>249</v>
      </c>
    </row>
    <row r="46" ht="15.75" customHeight="1">
      <c r="A46" s="83">
        <v>44.0</v>
      </c>
      <c r="B46" s="81">
        <v>45968.0</v>
      </c>
      <c r="C46" s="82" t="s">
        <v>130</v>
      </c>
      <c r="D46" s="82" t="s">
        <v>250</v>
      </c>
      <c r="E46" s="82" t="s">
        <v>251</v>
      </c>
      <c r="F46" s="83" t="s">
        <v>80</v>
      </c>
      <c r="G46" s="92" t="s">
        <v>9</v>
      </c>
      <c r="H46" s="80" t="s">
        <v>4</v>
      </c>
      <c r="I46" s="84">
        <v>4.0</v>
      </c>
      <c r="J46" s="84">
        <v>2.0</v>
      </c>
      <c r="K46" s="85" t="str">
        <f t="array" ref="K46">INDEX(Matriz!$D$6:$H$10,I46,J46)</f>
        <v>Bajo</v>
      </c>
      <c r="L46" s="86" t="s">
        <v>252</v>
      </c>
      <c r="M46" s="87" t="s">
        <v>75</v>
      </c>
      <c r="N46" s="81">
        <v>45934.0</v>
      </c>
      <c r="O46" s="92" t="s">
        <v>28</v>
      </c>
      <c r="P46" s="94" t="s">
        <v>253</v>
      </c>
    </row>
    <row r="47" ht="15.75" customHeight="1">
      <c r="A47" s="83">
        <v>45.0</v>
      </c>
      <c r="B47" s="81">
        <v>45968.0</v>
      </c>
      <c r="C47" s="82" t="s">
        <v>77</v>
      </c>
      <c r="D47" s="82" t="s">
        <v>254</v>
      </c>
      <c r="E47" s="82" t="s">
        <v>255</v>
      </c>
      <c r="F47" s="83" t="s">
        <v>80</v>
      </c>
      <c r="G47" s="80" t="s">
        <v>11</v>
      </c>
      <c r="H47" s="80" t="s">
        <v>9</v>
      </c>
      <c r="I47" s="84">
        <v>2.0</v>
      </c>
      <c r="J47" s="84">
        <v>2.0</v>
      </c>
      <c r="K47" s="85" t="str">
        <f t="array" ref="K47">INDEX(Matriz!$D$6:$H$10,I47,J47)</f>
        <v>Medio</v>
      </c>
      <c r="L47" s="86" t="s">
        <v>256</v>
      </c>
      <c r="M47" s="87" t="s">
        <v>68</v>
      </c>
      <c r="N47" s="81">
        <v>45935.0</v>
      </c>
      <c r="O47" s="80" t="s">
        <v>16</v>
      </c>
      <c r="P47" s="94" t="s">
        <v>257</v>
      </c>
    </row>
    <row r="48" ht="15.75" customHeight="1">
      <c r="A48" s="83">
        <v>46.0</v>
      </c>
      <c r="B48" s="81">
        <v>45968.0</v>
      </c>
      <c r="C48" s="82" t="s">
        <v>83</v>
      </c>
      <c r="D48" s="82" t="s">
        <v>258</v>
      </c>
      <c r="E48" s="82" t="s">
        <v>259</v>
      </c>
      <c r="F48" s="83" t="s">
        <v>80</v>
      </c>
      <c r="G48" s="92" t="s">
        <v>9</v>
      </c>
      <c r="H48" s="80" t="s">
        <v>4</v>
      </c>
      <c r="I48" s="93">
        <v>3.0</v>
      </c>
      <c r="J48" s="84">
        <v>4.0</v>
      </c>
      <c r="K48" s="85" t="str">
        <f t="array" ref="K48">INDEX(Matriz!$D$6:$H$10,I48,J48)</f>
        <v>Alto</v>
      </c>
      <c r="L48" s="86" t="s">
        <v>260</v>
      </c>
      <c r="M48" s="87" t="s">
        <v>87</v>
      </c>
      <c r="N48" s="81">
        <v>45936.0</v>
      </c>
      <c r="O48" s="80" t="s">
        <v>16</v>
      </c>
      <c r="P48" s="94" t="s">
        <v>261</v>
      </c>
    </row>
    <row r="49" ht="15.75" customHeight="1">
      <c r="A49" s="83">
        <v>47.0</v>
      </c>
      <c r="B49" s="81">
        <v>45968.0</v>
      </c>
      <c r="C49" s="82" t="s">
        <v>109</v>
      </c>
      <c r="D49" s="82" t="s">
        <v>262</v>
      </c>
      <c r="E49" s="82" t="s">
        <v>263</v>
      </c>
      <c r="F49" s="91" t="s">
        <v>66</v>
      </c>
      <c r="G49" s="92" t="s">
        <v>9</v>
      </c>
      <c r="H49" s="80" t="s">
        <v>9</v>
      </c>
      <c r="I49" s="93">
        <v>3.0</v>
      </c>
      <c r="J49" s="84">
        <v>3.0</v>
      </c>
      <c r="K49" s="85" t="str">
        <f t="array" ref="K49">INDEX(Matriz!$D$6:$H$10,I49,J49)</f>
        <v>Alto</v>
      </c>
      <c r="L49" s="86" t="s">
        <v>264</v>
      </c>
      <c r="M49" s="86" t="s">
        <v>68</v>
      </c>
      <c r="N49" s="81">
        <v>45937.0</v>
      </c>
      <c r="O49" s="80" t="s">
        <v>16</v>
      </c>
      <c r="P49" s="94" t="s">
        <v>265</v>
      </c>
    </row>
    <row r="50" ht="15.75" customHeight="1">
      <c r="A50" s="83">
        <v>48.0</v>
      </c>
      <c r="B50" s="81">
        <v>45968.0</v>
      </c>
      <c r="C50" s="82" t="s">
        <v>70</v>
      </c>
      <c r="D50" s="82" t="s">
        <v>266</v>
      </c>
      <c r="E50" s="82" t="s">
        <v>267</v>
      </c>
      <c r="F50" s="83" t="s">
        <v>73</v>
      </c>
      <c r="G50" s="80" t="s">
        <v>11</v>
      </c>
      <c r="H50" s="80" t="s">
        <v>9</v>
      </c>
      <c r="I50" s="84">
        <v>3.0</v>
      </c>
      <c r="J50" s="84">
        <v>2.0</v>
      </c>
      <c r="K50" s="85" t="str">
        <f t="array" ref="K50">INDEX(Matriz!$D$6:$H$10,I50,J50)</f>
        <v>Medio</v>
      </c>
      <c r="L50" s="86" t="s">
        <v>268</v>
      </c>
      <c r="M50" s="86" t="s">
        <v>75</v>
      </c>
      <c r="N50" s="81">
        <v>45938.0</v>
      </c>
      <c r="O50" s="80" t="s">
        <v>16</v>
      </c>
      <c r="P50" s="94" t="s">
        <v>269</v>
      </c>
    </row>
    <row r="51" ht="15.75" customHeight="1">
      <c r="A51" s="83">
        <v>49.0</v>
      </c>
      <c r="B51" s="81">
        <v>45968.0</v>
      </c>
      <c r="C51" s="82" t="s">
        <v>77</v>
      </c>
      <c r="D51" s="82" t="s">
        <v>270</v>
      </c>
      <c r="E51" s="82" t="s">
        <v>271</v>
      </c>
      <c r="F51" s="83" t="s">
        <v>80</v>
      </c>
      <c r="G51" s="92" t="s">
        <v>9</v>
      </c>
      <c r="H51" s="80" t="s">
        <v>9</v>
      </c>
      <c r="I51" s="93">
        <v>3.0</v>
      </c>
      <c r="J51" s="84">
        <v>2.0</v>
      </c>
      <c r="K51" s="85" t="str">
        <f t="array" ref="K51">INDEX(Matriz!$D$6:$H$10,I51,J51)</f>
        <v>Medio</v>
      </c>
      <c r="L51" s="86" t="s">
        <v>272</v>
      </c>
      <c r="M51" s="86" t="s">
        <v>68</v>
      </c>
      <c r="N51" s="81">
        <v>45939.0</v>
      </c>
      <c r="O51" s="80" t="s">
        <v>28</v>
      </c>
      <c r="P51" s="94" t="s">
        <v>273</v>
      </c>
    </row>
    <row r="52" ht="15.75" customHeight="1">
      <c r="A52" s="83">
        <v>50.0</v>
      </c>
      <c r="B52" s="81">
        <v>45968.0</v>
      </c>
      <c r="C52" s="82" t="s">
        <v>89</v>
      </c>
      <c r="D52" s="82" t="s">
        <v>274</v>
      </c>
      <c r="E52" s="82" t="s">
        <v>275</v>
      </c>
      <c r="F52" s="83" t="s">
        <v>66</v>
      </c>
      <c r="G52" s="92" t="s">
        <v>9</v>
      </c>
      <c r="H52" s="80" t="s">
        <v>9</v>
      </c>
      <c r="I52" s="84">
        <v>3.0</v>
      </c>
      <c r="J52" s="84">
        <v>2.0</v>
      </c>
      <c r="K52" s="85" t="str">
        <f t="array" ref="K52">INDEX(Matriz!$D$6:$H$10,I52,J52)</f>
        <v>Medio</v>
      </c>
      <c r="L52" s="86" t="s">
        <v>276</v>
      </c>
      <c r="M52" s="86" t="s">
        <v>68</v>
      </c>
      <c r="N52" s="81">
        <v>45940.0</v>
      </c>
      <c r="O52" s="80" t="s">
        <v>16</v>
      </c>
      <c r="P52" s="94" t="s">
        <v>277</v>
      </c>
    </row>
    <row r="53" ht="15.75" customHeight="1">
      <c r="A53" s="83">
        <v>51.0</v>
      </c>
      <c r="B53" s="81">
        <v>45968.0</v>
      </c>
      <c r="C53" s="82" t="s">
        <v>80</v>
      </c>
      <c r="D53" s="82" t="s">
        <v>278</v>
      </c>
      <c r="E53" s="82" t="s">
        <v>279</v>
      </c>
      <c r="F53" s="83" t="s">
        <v>80</v>
      </c>
      <c r="G53" s="92" t="s">
        <v>9</v>
      </c>
      <c r="H53" s="80" t="s">
        <v>9</v>
      </c>
      <c r="I53" s="84">
        <v>3.0</v>
      </c>
      <c r="J53" s="84">
        <v>2.0</v>
      </c>
      <c r="K53" s="85" t="str">
        <f t="array" ref="K53">INDEX(Matriz!$D$6:$H$10,I53,J53)</f>
        <v>Medio</v>
      </c>
      <c r="L53" s="86" t="s">
        <v>280</v>
      </c>
      <c r="M53" s="86" t="s">
        <v>87</v>
      </c>
      <c r="N53" s="81">
        <v>45941.0</v>
      </c>
      <c r="O53" s="80" t="s">
        <v>16</v>
      </c>
      <c r="P53" s="94" t="s">
        <v>281</v>
      </c>
    </row>
    <row r="54" ht="15.75" customHeight="1">
      <c r="A54" s="83">
        <v>52.0</v>
      </c>
      <c r="B54" s="81">
        <v>45968.0</v>
      </c>
      <c r="C54" s="82" t="s">
        <v>103</v>
      </c>
      <c r="D54" s="82" t="s">
        <v>282</v>
      </c>
      <c r="E54" s="82" t="s">
        <v>283</v>
      </c>
      <c r="F54" s="83" t="s">
        <v>66</v>
      </c>
      <c r="G54" s="80" t="s">
        <v>4</v>
      </c>
      <c r="H54" s="80" t="s">
        <v>4</v>
      </c>
      <c r="I54" s="84">
        <v>4.0</v>
      </c>
      <c r="J54" s="84">
        <v>2.0</v>
      </c>
      <c r="K54" s="85" t="str">
        <f t="array" ref="K54">INDEX(Matriz!$D$6:$H$10,I54,J54)</f>
        <v>Bajo</v>
      </c>
      <c r="L54" s="86" t="s">
        <v>284</v>
      </c>
      <c r="M54" s="86" t="s">
        <v>107</v>
      </c>
      <c r="N54" s="81">
        <v>45942.0</v>
      </c>
      <c r="O54" s="80" t="s">
        <v>18</v>
      </c>
      <c r="P54" s="86" t="s">
        <v>285</v>
      </c>
    </row>
    <row r="55" ht="15.75" customHeight="1">
      <c r="A55" s="83">
        <v>53.0</v>
      </c>
      <c r="B55" s="81">
        <v>45968.0</v>
      </c>
      <c r="C55" s="82" t="s">
        <v>109</v>
      </c>
      <c r="D55" s="82" t="s">
        <v>286</v>
      </c>
      <c r="E55" s="82" t="s">
        <v>287</v>
      </c>
      <c r="F55" s="91" t="s">
        <v>66</v>
      </c>
      <c r="G55" s="92" t="s">
        <v>9</v>
      </c>
      <c r="H55" s="80" t="s">
        <v>9</v>
      </c>
      <c r="I55" s="93">
        <v>3.0</v>
      </c>
      <c r="J55" s="84">
        <v>2.0</v>
      </c>
      <c r="K55" s="85" t="str">
        <f t="array" ref="K55">INDEX(Matriz!$D$6:$H$10,I55,J55)</f>
        <v>Medio</v>
      </c>
      <c r="L55" s="86" t="s">
        <v>288</v>
      </c>
      <c r="M55" s="86" t="s">
        <v>68</v>
      </c>
      <c r="N55" s="81">
        <v>45944.0</v>
      </c>
      <c r="O55" s="80" t="s">
        <v>16</v>
      </c>
      <c r="P55" s="94" t="s">
        <v>289</v>
      </c>
    </row>
    <row r="56" ht="15.75" customHeight="1">
      <c r="A56" s="83">
        <v>54.0</v>
      </c>
      <c r="B56" s="81">
        <v>45968.0</v>
      </c>
      <c r="C56" s="82" t="s">
        <v>77</v>
      </c>
      <c r="D56" s="82" t="s">
        <v>290</v>
      </c>
      <c r="E56" s="82" t="s">
        <v>291</v>
      </c>
      <c r="F56" s="83" t="s">
        <v>80</v>
      </c>
      <c r="G56" s="92" t="s">
        <v>9</v>
      </c>
      <c r="H56" s="80" t="s">
        <v>9</v>
      </c>
      <c r="I56" s="93">
        <v>3.0</v>
      </c>
      <c r="J56" s="84">
        <v>2.0</v>
      </c>
      <c r="K56" s="85" t="str">
        <f t="array" ref="K56">INDEX(Matriz!$D$6:$H$10,I56,J56)</f>
        <v>Medio</v>
      </c>
      <c r="L56" s="86" t="s">
        <v>292</v>
      </c>
      <c r="M56" s="86" t="s">
        <v>68</v>
      </c>
      <c r="N56" s="81">
        <v>45945.0</v>
      </c>
      <c r="O56" s="80" t="s">
        <v>16</v>
      </c>
      <c r="P56" s="94" t="s">
        <v>293</v>
      </c>
    </row>
    <row r="57" ht="15.75" customHeight="1">
      <c r="A57" s="83">
        <v>55.0</v>
      </c>
      <c r="B57" s="81">
        <v>45968.0</v>
      </c>
      <c r="C57" s="82" t="s">
        <v>77</v>
      </c>
      <c r="D57" s="82" t="s">
        <v>294</v>
      </c>
      <c r="E57" s="82" t="s">
        <v>295</v>
      </c>
      <c r="F57" s="83" t="s">
        <v>80</v>
      </c>
      <c r="G57" s="92" t="s">
        <v>9</v>
      </c>
      <c r="H57" s="80" t="s">
        <v>9</v>
      </c>
      <c r="I57" s="93">
        <v>3.0</v>
      </c>
      <c r="J57" s="84">
        <v>2.0</v>
      </c>
      <c r="K57" s="85" t="str">
        <f t="array" ref="K57">INDEX(Matriz!$D$6:$H$10,I57,J57)</f>
        <v>Medio</v>
      </c>
      <c r="L57" s="86" t="s">
        <v>296</v>
      </c>
      <c r="M57" s="87" t="s">
        <v>68</v>
      </c>
      <c r="N57" s="81">
        <v>45947.0</v>
      </c>
      <c r="O57" s="80" t="s">
        <v>16</v>
      </c>
      <c r="P57" s="94" t="s">
        <v>297</v>
      </c>
    </row>
    <row r="58" ht="15.75" customHeight="1">
      <c r="A58" s="83">
        <v>56.0</v>
      </c>
      <c r="B58" s="81">
        <v>45968.0</v>
      </c>
      <c r="C58" s="82" t="s">
        <v>70</v>
      </c>
      <c r="D58" s="82" t="s">
        <v>298</v>
      </c>
      <c r="E58" s="82" t="s">
        <v>299</v>
      </c>
      <c r="F58" s="83" t="s">
        <v>73</v>
      </c>
      <c r="G58" s="92" t="s">
        <v>9</v>
      </c>
      <c r="H58" s="80" t="s">
        <v>9</v>
      </c>
      <c r="I58" s="93">
        <v>3.0</v>
      </c>
      <c r="J58" s="84">
        <v>2.0</v>
      </c>
      <c r="K58" s="85" t="str">
        <f t="array" ref="K58">INDEX(Matriz!$D$6:$H$10,I58,J58)</f>
        <v>Medio</v>
      </c>
      <c r="L58" s="86" t="s">
        <v>300</v>
      </c>
      <c r="M58" s="87" t="s">
        <v>75</v>
      </c>
      <c r="N58" s="81">
        <v>45948.0</v>
      </c>
      <c r="O58" s="80" t="s">
        <v>16</v>
      </c>
      <c r="P58" s="94" t="s">
        <v>301</v>
      </c>
    </row>
    <row r="59" ht="15.75" customHeight="1">
      <c r="A59" s="83">
        <v>57.0</v>
      </c>
      <c r="B59" s="81">
        <v>45968.0</v>
      </c>
      <c r="C59" s="82" t="s">
        <v>103</v>
      </c>
      <c r="D59" s="82" t="s">
        <v>302</v>
      </c>
      <c r="E59" s="82" t="s">
        <v>303</v>
      </c>
      <c r="F59" s="91" t="s">
        <v>66</v>
      </c>
      <c r="G59" s="80" t="s">
        <v>11</v>
      </c>
      <c r="H59" s="80" t="s">
        <v>9</v>
      </c>
      <c r="I59" s="93">
        <v>3.0</v>
      </c>
      <c r="J59" s="84">
        <v>2.0</v>
      </c>
      <c r="K59" s="85" t="str">
        <f t="array" ref="K59">INDEX(Matriz!$D$6:$H$10,I59,J59)</f>
        <v>Medio</v>
      </c>
      <c r="L59" s="86" t="s">
        <v>304</v>
      </c>
      <c r="M59" s="86" t="s">
        <v>107</v>
      </c>
      <c r="N59" s="81">
        <v>45949.0</v>
      </c>
      <c r="O59" s="80" t="s">
        <v>16</v>
      </c>
      <c r="P59" s="94" t="s">
        <v>305</v>
      </c>
    </row>
    <row r="60" ht="15.75" customHeight="1">
      <c r="A60" s="83">
        <v>58.0</v>
      </c>
      <c r="B60" s="81">
        <v>45968.0</v>
      </c>
      <c r="C60" s="82" t="s">
        <v>83</v>
      </c>
      <c r="D60" s="82" t="s">
        <v>306</v>
      </c>
      <c r="E60" s="82" t="s">
        <v>307</v>
      </c>
      <c r="F60" s="83" t="s">
        <v>80</v>
      </c>
      <c r="G60" s="92" t="s">
        <v>9</v>
      </c>
      <c r="H60" s="92" t="s">
        <v>133</v>
      </c>
      <c r="I60" s="84">
        <v>4.0</v>
      </c>
      <c r="J60" s="84">
        <v>3.0</v>
      </c>
      <c r="K60" s="85" t="str">
        <f t="array" ref="K60">INDEX(Matriz!$D$6:$H$10,I60,J60)</f>
        <v>Medio</v>
      </c>
      <c r="L60" s="86" t="s">
        <v>308</v>
      </c>
      <c r="M60" s="87" t="s">
        <v>87</v>
      </c>
      <c r="N60" s="81">
        <v>45950.0</v>
      </c>
      <c r="O60" s="80" t="s">
        <v>16</v>
      </c>
      <c r="P60" s="94" t="s">
        <v>309</v>
      </c>
    </row>
    <row r="61" ht="15.75" customHeight="1">
      <c r="A61" s="83">
        <v>59.0</v>
      </c>
      <c r="B61" s="81">
        <v>45968.0</v>
      </c>
      <c r="C61" s="82" t="s">
        <v>80</v>
      </c>
      <c r="D61" s="82" t="s">
        <v>310</v>
      </c>
      <c r="E61" s="82" t="s">
        <v>311</v>
      </c>
      <c r="F61" s="83" t="s">
        <v>80</v>
      </c>
      <c r="G61" s="80" t="s">
        <v>11</v>
      </c>
      <c r="H61" s="80" t="s">
        <v>9</v>
      </c>
      <c r="I61" s="93">
        <v>3.0</v>
      </c>
      <c r="J61" s="84">
        <v>2.0</v>
      </c>
      <c r="K61" s="85" t="str">
        <f t="array" ref="K61">INDEX(Matriz!$D$6:$H$10,I61,J61)</f>
        <v>Medio</v>
      </c>
      <c r="L61" s="86" t="s">
        <v>312</v>
      </c>
      <c r="M61" s="87" t="s">
        <v>87</v>
      </c>
      <c r="N61" s="81">
        <v>45951.0</v>
      </c>
      <c r="O61" s="80" t="s">
        <v>18</v>
      </c>
      <c r="P61" s="94" t="s">
        <v>313</v>
      </c>
    </row>
    <row r="62" ht="15.75" customHeight="1">
      <c r="A62" s="83">
        <v>60.0</v>
      </c>
      <c r="B62" s="81">
        <v>45968.0</v>
      </c>
      <c r="C62" s="82" t="s">
        <v>89</v>
      </c>
      <c r="D62" s="82" t="s">
        <v>314</v>
      </c>
      <c r="E62" s="82" t="s">
        <v>315</v>
      </c>
      <c r="F62" s="91" t="s">
        <v>66</v>
      </c>
      <c r="G62" s="80" t="s">
        <v>11</v>
      </c>
      <c r="H62" s="80" t="s">
        <v>9</v>
      </c>
      <c r="I62" s="93">
        <v>3.0</v>
      </c>
      <c r="J62" s="84">
        <v>2.0</v>
      </c>
      <c r="K62" s="85" t="str">
        <f t="array" ref="K62">INDEX(Matriz!$D$6:$H$10,I62,J62)</f>
        <v>Medio</v>
      </c>
      <c r="L62" s="86" t="s">
        <v>316</v>
      </c>
      <c r="M62" s="87" t="s">
        <v>68</v>
      </c>
      <c r="N62" s="81">
        <v>45953.0</v>
      </c>
      <c r="O62" s="80" t="s">
        <v>16</v>
      </c>
      <c r="P62" s="94" t="s">
        <v>317</v>
      </c>
    </row>
    <row r="63" ht="15.75" customHeight="1">
      <c r="A63" s="83">
        <v>61.0</v>
      </c>
      <c r="B63" s="81">
        <v>45968.0</v>
      </c>
      <c r="C63" s="82" t="s">
        <v>63</v>
      </c>
      <c r="D63" s="82" t="s">
        <v>318</v>
      </c>
      <c r="E63" s="82" t="s">
        <v>319</v>
      </c>
      <c r="F63" s="83" t="s">
        <v>80</v>
      </c>
      <c r="G63" s="80" t="s">
        <v>11</v>
      </c>
      <c r="H63" s="80" t="s">
        <v>4</v>
      </c>
      <c r="I63" s="84">
        <v>2.0</v>
      </c>
      <c r="J63" s="84">
        <v>2.0</v>
      </c>
      <c r="K63" s="85" t="str">
        <f t="array" ref="K63">INDEX(Matriz!$D$6:$H$10,I63,J63)</f>
        <v>Medio</v>
      </c>
      <c r="L63" s="86" t="s">
        <v>320</v>
      </c>
      <c r="M63" s="87" t="s">
        <v>68</v>
      </c>
      <c r="N63" s="81">
        <v>45954.0</v>
      </c>
      <c r="O63" s="80" t="s">
        <v>16</v>
      </c>
      <c r="P63" s="94" t="s">
        <v>321</v>
      </c>
    </row>
    <row r="64" ht="15.75" customHeight="1">
      <c r="A64" s="83">
        <v>62.0</v>
      </c>
      <c r="B64" s="81">
        <v>45968.0</v>
      </c>
      <c r="C64" s="82" t="s">
        <v>70</v>
      </c>
      <c r="D64" s="82" t="s">
        <v>322</v>
      </c>
      <c r="E64" s="82" t="s">
        <v>323</v>
      </c>
      <c r="F64" s="83" t="s">
        <v>80</v>
      </c>
      <c r="G64" s="92" t="s">
        <v>9</v>
      </c>
      <c r="H64" s="80" t="s">
        <v>9</v>
      </c>
      <c r="I64" s="93">
        <v>3.0</v>
      </c>
      <c r="J64" s="84">
        <v>3.0</v>
      </c>
      <c r="K64" s="85" t="str">
        <f t="array" ref="K64">INDEX(Matriz!$D$6:$H$10,I64,J64)</f>
        <v>Alto</v>
      </c>
      <c r="L64" s="86" t="s">
        <v>324</v>
      </c>
      <c r="M64" s="87" t="s">
        <v>75</v>
      </c>
      <c r="N64" s="81">
        <v>45955.0</v>
      </c>
      <c r="O64" s="80" t="s">
        <v>16</v>
      </c>
      <c r="P64" s="94" t="s">
        <v>325</v>
      </c>
    </row>
    <row r="65" ht="15.75" customHeight="1">
      <c r="A65" s="83">
        <v>63.0</v>
      </c>
      <c r="B65" s="81">
        <v>45968.0</v>
      </c>
      <c r="C65" s="82" t="s">
        <v>109</v>
      </c>
      <c r="D65" s="82" t="s">
        <v>326</v>
      </c>
      <c r="E65" s="82" t="s">
        <v>327</v>
      </c>
      <c r="F65" s="91" t="s">
        <v>66</v>
      </c>
      <c r="G65" s="92" t="s">
        <v>9</v>
      </c>
      <c r="H65" s="80" t="s">
        <v>9</v>
      </c>
      <c r="I65" s="93">
        <v>3.0</v>
      </c>
      <c r="J65" s="84">
        <v>2.0</v>
      </c>
      <c r="K65" s="85" t="str">
        <f t="array" ref="K65">INDEX(Matriz!$D$6:$H$10,I65,J65)</f>
        <v>Medio</v>
      </c>
      <c r="L65" s="86" t="s">
        <v>328</v>
      </c>
      <c r="M65" s="87" t="s">
        <v>68</v>
      </c>
      <c r="N65" s="81">
        <v>45956.0</v>
      </c>
      <c r="O65" s="92" t="s">
        <v>28</v>
      </c>
      <c r="P65" s="94" t="s">
        <v>329</v>
      </c>
    </row>
    <row r="66" ht="15.75" customHeight="1">
      <c r="A66" s="83">
        <v>64.0</v>
      </c>
      <c r="B66" s="81">
        <v>45968.0</v>
      </c>
      <c r="C66" s="82" t="s">
        <v>77</v>
      </c>
      <c r="D66" s="82" t="s">
        <v>330</v>
      </c>
      <c r="E66" s="82" t="s">
        <v>331</v>
      </c>
      <c r="F66" s="83" t="s">
        <v>80</v>
      </c>
      <c r="G66" s="80" t="s">
        <v>11</v>
      </c>
      <c r="H66" s="80" t="s">
        <v>9</v>
      </c>
      <c r="I66" s="84">
        <v>4.0</v>
      </c>
      <c r="J66" s="84">
        <v>1.0</v>
      </c>
      <c r="K66" s="85" t="str">
        <f t="array" ref="K66">INDEX(Matriz!$D$6:$H$10,I66,J66)</f>
        <v>Bajo</v>
      </c>
      <c r="L66" s="86" t="s">
        <v>332</v>
      </c>
      <c r="M66" s="87" t="s">
        <v>68</v>
      </c>
      <c r="N66" s="81">
        <v>45957.0</v>
      </c>
      <c r="O66" s="80" t="s">
        <v>16</v>
      </c>
      <c r="P66" s="94" t="s">
        <v>333</v>
      </c>
    </row>
    <row r="67" ht="15.75" customHeight="1">
      <c r="A67" s="83">
        <v>65.0</v>
      </c>
      <c r="B67" s="81">
        <v>45968.0</v>
      </c>
      <c r="C67" s="82" t="s">
        <v>83</v>
      </c>
      <c r="D67" s="82" t="s">
        <v>334</v>
      </c>
      <c r="E67" s="82" t="s">
        <v>335</v>
      </c>
      <c r="F67" s="83" t="s">
        <v>80</v>
      </c>
      <c r="G67" s="80" t="s">
        <v>4</v>
      </c>
      <c r="H67" s="80" t="s">
        <v>133</v>
      </c>
      <c r="I67" s="84">
        <v>4.0</v>
      </c>
      <c r="J67" s="84">
        <v>3.0</v>
      </c>
      <c r="K67" s="85" t="str">
        <f t="array" ref="K67">INDEX(Matriz!$D$6:$H$10,I67,J67)</f>
        <v>Medio</v>
      </c>
      <c r="L67" s="86" t="s">
        <v>336</v>
      </c>
      <c r="M67" s="87" t="s">
        <v>87</v>
      </c>
      <c r="N67" s="81">
        <v>45958.0</v>
      </c>
      <c r="O67" s="92" t="s">
        <v>28</v>
      </c>
      <c r="P67" s="94" t="s">
        <v>337</v>
      </c>
    </row>
    <row r="68" ht="15.75" customHeight="1">
      <c r="A68" s="83">
        <v>66.0</v>
      </c>
      <c r="B68" s="81">
        <v>45968.0</v>
      </c>
      <c r="C68" s="82" t="s">
        <v>70</v>
      </c>
      <c r="D68" s="82" t="s">
        <v>104</v>
      </c>
      <c r="E68" s="82" t="s">
        <v>338</v>
      </c>
      <c r="F68" s="83" t="s">
        <v>73</v>
      </c>
      <c r="G68" s="92" t="s">
        <v>9</v>
      </c>
      <c r="H68" s="92" t="s">
        <v>133</v>
      </c>
      <c r="I68" s="84">
        <v>2.0</v>
      </c>
      <c r="J68" s="84">
        <v>2.0</v>
      </c>
      <c r="K68" s="85" t="str">
        <f t="array" ref="K68">INDEX(Matriz!$D$6:$H$10,I68,J68)</f>
        <v>Medio</v>
      </c>
      <c r="L68" s="86" t="s">
        <v>339</v>
      </c>
      <c r="M68" s="87" t="s">
        <v>75</v>
      </c>
      <c r="N68" s="81">
        <v>45959.0</v>
      </c>
      <c r="O68" s="80" t="s">
        <v>16</v>
      </c>
      <c r="P68" s="94" t="s">
        <v>340</v>
      </c>
    </row>
    <row r="69" ht="15.75" customHeight="1">
      <c r="A69" s="83">
        <v>67.0</v>
      </c>
      <c r="B69" s="81">
        <v>45968.0</v>
      </c>
      <c r="C69" s="82" t="s">
        <v>89</v>
      </c>
      <c r="D69" s="82" t="s">
        <v>341</v>
      </c>
      <c r="E69" s="82" t="s">
        <v>342</v>
      </c>
      <c r="F69" s="91" t="s">
        <v>66</v>
      </c>
      <c r="G69" s="80" t="s">
        <v>11</v>
      </c>
      <c r="H69" s="80" t="s">
        <v>9</v>
      </c>
      <c r="I69" s="84">
        <v>2.0</v>
      </c>
      <c r="J69" s="84">
        <v>2.0</v>
      </c>
      <c r="K69" s="85" t="str">
        <f t="array" ref="K69">INDEX(Matriz!$D$6:$H$10,I69,J69)</f>
        <v>Medio</v>
      </c>
      <c r="L69" s="86" t="s">
        <v>343</v>
      </c>
      <c r="M69" s="87" t="s">
        <v>68</v>
      </c>
      <c r="N69" s="81">
        <v>45960.0</v>
      </c>
      <c r="O69" s="80" t="s">
        <v>16</v>
      </c>
      <c r="P69" s="94" t="s">
        <v>344</v>
      </c>
    </row>
    <row r="70" ht="15.75" customHeight="1">
      <c r="A70" s="83">
        <v>68.0</v>
      </c>
      <c r="B70" s="81">
        <v>45968.0</v>
      </c>
      <c r="C70" s="82" t="s">
        <v>130</v>
      </c>
      <c r="D70" s="82" t="s">
        <v>345</v>
      </c>
      <c r="E70" s="82" t="s">
        <v>346</v>
      </c>
      <c r="F70" s="83" t="s">
        <v>80</v>
      </c>
      <c r="G70" s="92" t="s">
        <v>9</v>
      </c>
      <c r="H70" s="80" t="s">
        <v>4</v>
      </c>
      <c r="I70" s="84">
        <v>4.0</v>
      </c>
      <c r="J70" s="84">
        <v>3.0</v>
      </c>
      <c r="K70" s="85" t="str">
        <f t="array" ref="K70">INDEX(Matriz!$D$6:$H$10,I70,J70)</f>
        <v>Medio</v>
      </c>
      <c r="L70" s="86" t="s">
        <v>347</v>
      </c>
      <c r="M70" s="87" t="s">
        <v>87</v>
      </c>
      <c r="N70" s="81">
        <v>45962.0</v>
      </c>
      <c r="O70" s="80" t="s">
        <v>16</v>
      </c>
      <c r="P70" s="94" t="s">
        <v>348</v>
      </c>
    </row>
    <row r="71" ht="15.75" customHeight="1">
      <c r="A71" s="83">
        <v>69.0</v>
      </c>
      <c r="B71" s="81">
        <v>45968.0</v>
      </c>
      <c r="C71" s="82" t="s">
        <v>103</v>
      </c>
      <c r="D71" s="82" t="s">
        <v>349</v>
      </c>
      <c r="E71" s="82" t="s">
        <v>350</v>
      </c>
      <c r="F71" s="91" t="s">
        <v>66</v>
      </c>
      <c r="G71" s="80" t="s">
        <v>11</v>
      </c>
      <c r="H71" s="80" t="s">
        <v>9</v>
      </c>
      <c r="I71" s="84">
        <v>3.0</v>
      </c>
      <c r="J71" s="84">
        <v>2.0</v>
      </c>
      <c r="K71" s="85" t="str">
        <f t="array" ref="K71">INDEX(Matriz!$D$6:$H$10,I71,J71)</f>
        <v>Medio</v>
      </c>
      <c r="L71" s="86" t="s">
        <v>351</v>
      </c>
      <c r="M71" s="87" t="s">
        <v>107</v>
      </c>
      <c r="N71" s="81">
        <v>45966.0</v>
      </c>
      <c r="O71" s="80" t="s">
        <v>16</v>
      </c>
      <c r="P71" s="94" t="s">
        <v>352</v>
      </c>
    </row>
    <row r="72" ht="15.75" customHeight="1">
      <c r="A72" s="83">
        <v>70.0</v>
      </c>
      <c r="B72" s="81">
        <v>45968.0</v>
      </c>
      <c r="C72" s="82" t="s">
        <v>80</v>
      </c>
      <c r="D72" s="82" t="s">
        <v>353</v>
      </c>
      <c r="E72" s="82" t="s">
        <v>354</v>
      </c>
      <c r="F72" s="91" t="s">
        <v>66</v>
      </c>
      <c r="G72" s="92" t="s">
        <v>9</v>
      </c>
      <c r="H72" s="80" t="s">
        <v>9</v>
      </c>
      <c r="I72" s="93">
        <v>3.0</v>
      </c>
      <c r="J72" s="84">
        <v>2.0</v>
      </c>
      <c r="K72" s="85" t="str">
        <f t="array" ref="K72">INDEX(Matriz!$D$6:$H$10,I72,J72)</f>
        <v>Medio</v>
      </c>
      <c r="L72" s="86" t="s">
        <v>355</v>
      </c>
      <c r="M72" s="87" t="s">
        <v>87</v>
      </c>
      <c r="N72" s="81">
        <v>45969.0</v>
      </c>
      <c r="O72" s="80" t="s">
        <v>16</v>
      </c>
      <c r="P72" s="94" t="s">
        <v>356</v>
      </c>
    </row>
    <row r="73" ht="15.75" customHeight="1">
      <c r="A73" s="83">
        <v>71.0</v>
      </c>
      <c r="B73" s="81">
        <v>45968.0</v>
      </c>
      <c r="C73" s="82" t="s">
        <v>77</v>
      </c>
      <c r="D73" s="82" t="s">
        <v>357</v>
      </c>
      <c r="E73" s="82" t="s">
        <v>358</v>
      </c>
      <c r="F73" s="83" t="s">
        <v>80</v>
      </c>
      <c r="G73" s="92" t="s">
        <v>9</v>
      </c>
      <c r="H73" s="80" t="s">
        <v>9</v>
      </c>
      <c r="I73" s="93">
        <v>3.0</v>
      </c>
      <c r="J73" s="84">
        <v>1.0</v>
      </c>
      <c r="K73" s="85" t="str">
        <f t="array" ref="K73">INDEX(Matriz!$D$6:$H$10,I73,J73)</f>
        <v>Bajo</v>
      </c>
      <c r="L73" s="86" t="s">
        <v>359</v>
      </c>
      <c r="M73" s="87" t="s">
        <v>68</v>
      </c>
      <c r="N73" s="81">
        <v>45973.0</v>
      </c>
      <c r="O73" s="80" t="s">
        <v>16</v>
      </c>
      <c r="P73" s="94" t="s">
        <v>360</v>
      </c>
    </row>
    <row r="74" ht="15.75" customHeight="1">
      <c r="A74" s="83">
        <v>72.0</v>
      </c>
      <c r="B74" s="81">
        <v>45968.0</v>
      </c>
      <c r="C74" s="82" t="s">
        <v>109</v>
      </c>
      <c r="D74" s="82" t="s">
        <v>361</v>
      </c>
      <c r="E74" s="82" t="s">
        <v>362</v>
      </c>
      <c r="F74" s="83" t="s">
        <v>73</v>
      </c>
      <c r="G74" s="92" t="s">
        <v>9</v>
      </c>
      <c r="H74" s="80" t="s">
        <v>9</v>
      </c>
      <c r="I74" s="93">
        <v>3.0</v>
      </c>
      <c r="J74" s="84">
        <v>2.0</v>
      </c>
      <c r="K74" s="85" t="str">
        <f t="array" ref="K74">INDEX(Matriz!$D$6:$H$10,I74,J74)</f>
        <v>Medio</v>
      </c>
      <c r="L74" s="86" t="s">
        <v>363</v>
      </c>
      <c r="M74" s="87" t="s">
        <v>68</v>
      </c>
      <c r="N74" s="81">
        <v>45979.0</v>
      </c>
      <c r="O74" s="80" t="s">
        <v>16</v>
      </c>
      <c r="P74" s="94" t="s">
        <v>364</v>
      </c>
    </row>
    <row r="75" ht="15.75" hidden="1" customHeight="1">
      <c r="A75" s="95"/>
      <c r="B75" s="96"/>
      <c r="C75" s="97"/>
      <c r="D75" s="97"/>
      <c r="E75" s="97"/>
      <c r="F75" s="95"/>
      <c r="G75" s="98"/>
      <c r="H75" s="99"/>
      <c r="I75" s="100"/>
      <c r="J75" s="101"/>
      <c r="K75" s="102"/>
      <c r="L75" s="103"/>
      <c r="M75" s="104"/>
      <c r="N75" s="96"/>
      <c r="O75" s="99"/>
      <c r="P75" s="105"/>
    </row>
    <row r="76" ht="15.75" hidden="1" customHeight="1">
      <c r="A76" s="95"/>
      <c r="B76" s="96"/>
      <c r="C76" s="97"/>
      <c r="D76" s="97"/>
      <c r="E76" s="81">
        <v>45968.0</v>
      </c>
      <c r="F76" s="106"/>
      <c r="I76" s="100"/>
      <c r="J76" s="107"/>
      <c r="K76" s="108"/>
      <c r="L76" s="1"/>
      <c r="M76" s="1"/>
      <c r="N76" s="1"/>
      <c r="O76" s="109"/>
      <c r="P76" s="110"/>
      <c r="Q76" s="81">
        <v>45896.0</v>
      </c>
      <c r="S76" s="111"/>
    </row>
    <row r="77" ht="15.75" hidden="1" customHeight="1">
      <c r="A77" s="95"/>
      <c r="B77" s="96"/>
      <c r="C77" s="97"/>
      <c r="D77" s="97"/>
      <c r="E77" s="81">
        <v>45968.0</v>
      </c>
      <c r="F77" s="106"/>
      <c r="I77" s="100"/>
      <c r="J77" s="107"/>
      <c r="K77" s="108"/>
      <c r="L77" s="1"/>
      <c r="M77" s="1"/>
      <c r="N77" s="1"/>
      <c r="O77" s="109"/>
      <c r="P77" s="110"/>
      <c r="Q77" s="81">
        <v>45897.0</v>
      </c>
      <c r="S77" s="111"/>
    </row>
    <row r="78" ht="15.75" hidden="1" customHeight="1">
      <c r="A78" s="95"/>
      <c r="B78" s="96"/>
      <c r="C78" s="97"/>
      <c r="D78" s="97"/>
      <c r="E78" s="81">
        <v>45968.0</v>
      </c>
      <c r="F78" s="106"/>
      <c r="I78" s="100"/>
      <c r="J78" s="107"/>
      <c r="K78" s="108"/>
      <c r="L78" s="1"/>
      <c r="M78" s="1"/>
      <c r="N78" s="1"/>
      <c r="O78" s="109"/>
      <c r="P78" s="110"/>
      <c r="Q78" s="81">
        <v>45898.0</v>
      </c>
      <c r="S78" s="111"/>
    </row>
    <row r="79" ht="15.75" hidden="1" customHeight="1">
      <c r="A79" s="95"/>
      <c r="B79" s="96"/>
      <c r="C79" s="97"/>
      <c r="D79" s="97"/>
      <c r="E79" s="81">
        <v>45968.0</v>
      </c>
      <c r="F79" s="112" t="s">
        <v>365</v>
      </c>
      <c r="I79" s="93" t="s">
        <v>366</v>
      </c>
      <c r="J79" s="113" t="s">
        <v>133</v>
      </c>
      <c r="K79" s="114" t="s">
        <v>133</v>
      </c>
      <c r="L79" s="1"/>
      <c r="M79" s="1"/>
      <c r="N79" s="1"/>
      <c r="O79" s="109"/>
      <c r="P79" s="110"/>
      <c r="Q79" s="81">
        <v>45899.0</v>
      </c>
      <c r="R79" s="114" t="s">
        <v>28</v>
      </c>
      <c r="S79" s="111"/>
    </row>
    <row r="80" ht="15.75" hidden="1" customHeight="1">
      <c r="A80" s="95"/>
      <c r="B80" s="96"/>
      <c r="C80" s="97"/>
      <c r="D80" s="97"/>
      <c r="E80" s="81">
        <v>45968.0</v>
      </c>
      <c r="F80" s="112" t="s">
        <v>83</v>
      </c>
      <c r="I80" s="93" t="s">
        <v>66</v>
      </c>
      <c r="J80" s="113" t="s">
        <v>4</v>
      </c>
      <c r="K80" s="114" t="s">
        <v>4</v>
      </c>
      <c r="L80" s="1"/>
      <c r="M80" s="1"/>
      <c r="N80" s="1"/>
      <c r="O80" s="109"/>
      <c r="P80" s="110"/>
      <c r="Q80" s="81">
        <v>45900.0</v>
      </c>
      <c r="R80" s="114" t="s">
        <v>16</v>
      </c>
      <c r="S80" s="111"/>
    </row>
    <row r="81" ht="15.75" hidden="1" customHeight="1">
      <c r="A81" s="95"/>
      <c r="B81" s="96"/>
      <c r="C81" s="97"/>
      <c r="D81" s="97"/>
      <c r="E81" s="81">
        <v>45968.0</v>
      </c>
      <c r="F81" s="115" t="s">
        <v>367</v>
      </c>
      <c r="I81" s="93" t="s">
        <v>73</v>
      </c>
      <c r="J81" s="113" t="s">
        <v>9</v>
      </c>
      <c r="K81" s="114" t="s">
        <v>9</v>
      </c>
      <c r="L81" s="1"/>
      <c r="M81" s="1"/>
      <c r="N81" s="1"/>
      <c r="O81" s="109"/>
      <c r="P81" s="110"/>
      <c r="Q81" s="81">
        <v>45901.0</v>
      </c>
      <c r="R81" s="114" t="s">
        <v>17</v>
      </c>
      <c r="S81" s="111"/>
    </row>
    <row r="82" ht="15.75" hidden="1" customHeight="1">
      <c r="A82" s="95"/>
      <c r="B82" s="96"/>
      <c r="C82" s="97"/>
      <c r="D82" s="97"/>
      <c r="E82" s="81">
        <v>45968.0</v>
      </c>
      <c r="F82" s="112" t="s">
        <v>63</v>
      </c>
      <c r="I82" s="93" t="s">
        <v>80</v>
      </c>
      <c r="J82" s="113" t="s">
        <v>11</v>
      </c>
      <c r="K82" s="114" t="s">
        <v>11</v>
      </c>
      <c r="L82" s="1"/>
      <c r="M82" s="1"/>
      <c r="N82" s="1"/>
      <c r="O82" s="109"/>
      <c r="P82" s="110"/>
      <c r="Q82" s="81">
        <v>45902.0</v>
      </c>
      <c r="R82" s="114" t="s">
        <v>18</v>
      </c>
      <c r="S82" s="111"/>
    </row>
    <row r="83" ht="15.75" hidden="1" customHeight="1">
      <c r="A83" s="95"/>
      <c r="B83" s="96"/>
      <c r="C83" s="97"/>
      <c r="D83" s="97"/>
      <c r="E83" s="81">
        <v>45968.0</v>
      </c>
      <c r="F83" s="112" t="s">
        <v>368</v>
      </c>
      <c r="I83" s="100"/>
      <c r="J83" s="113" t="s">
        <v>369</v>
      </c>
      <c r="K83" s="114" t="s">
        <v>369</v>
      </c>
      <c r="L83" s="1"/>
      <c r="M83" s="1"/>
      <c r="N83" s="1"/>
      <c r="O83" s="109"/>
      <c r="P83" s="110"/>
      <c r="Q83" s="81">
        <v>45903.0</v>
      </c>
      <c r="S83" s="111"/>
    </row>
    <row r="84" ht="15.75" hidden="1" customHeight="1">
      <c r="A84" s="95"/>
      <c r="B84" s="96"/>
      <c r="C84" s="97"/>
      <c r="D84" s="97"/>
      <c r="E84" s="81">
        <v>45968.0</v>
      </c>
      <c r="F84" s="115" t="s">
        <v>370</v>
      </c>
      <c r="I84" s="100"/>
      <c r="J84" s="107"/>
      <c r="K84" s="108"/>
      <c r="L84" s="1"/>
      <c r="M84" s="1"/>
      <c r="N84" s="1"/>
      <c r="O84" s="109"/>
      <c r="P84" s="110"/>
      <c r="Q84" s="81">
        <v>45904.0</v>
      </c>
      <c r="S84" s="111"/>
    </row>
    <row r="85" ht="15.75" hidden="1" customHeight="1">
      <c r="A85" s="95"/>
      <c r="B85" s="96"/>
      <c r="C85" s="97"/>
      <c r="D85" s="97"/>
      <c r="E85" s="81">
        <v>45968.0</v>
      </c>
      <c r="F85" s="106"/>
      <c r="I85" s="100"/>
      <c r="J85" s="107"/>
      <c r="K85" s="108"/>
      <c r="L85" s="1"/>
      <c r="M85" s="1"/>
      <c r="N85" s="1"/>
      <c r="O85" s="109"/>
      <c r="P85" s="110"/>
      <c r="Q85" s="81">
        <v>45905.0</v>
      </c>
      <c r="S85" s="111"/>
    </row>
  </sheetData>
  <mergeCells count="1">
    <mergeCell ref="A1:P1"/>
  </mergeCells>
  <conditionalFormatting sqref="K3:K9">
    <cfRule type="cellIs" dxfId="0" priority="1" operator="equal">
      <formula>"Medio"</formula>
    </cfRule>
  </conditionalFormatting>
  <conditionalFormatting sqref="K3:K9">
    <cfRule type="cellIs" dxfId="1" priority="2" operator="equal">
      <formula>"Alto"</formula>
    </cfRule>
  </conditionalFormatting>
  <conditionalFormatting sqref="K3:K9">
    <cfRule type="cellIs" dxfId="2" priority="3" operator="equal">
      <formula>"Muy Alto"</formula>
    </cfRule>
  </conditionalFormatting>
  <conditionalFormatting sqref="K3:K9">
    <cfRule type="cellIs" dxfId="3" priority="4" operator="equal">
      <formula>"Bajo "</formula>
    </cfRule>
  </conditionalFormatting>
  <conditionalFormatting sqref="K3:K9">
    <cfRule type="expression" dxfId="4" priority="5">
      <formula>"Muy Alto"</formula>
    </cfRule>
  </conditionalFormatting>
  <conditionalFormatting sqref="K3:K9">
    <cfRule type="cellIs" dxfId="5" priority="6" operator="equal">
      <formula>"Alto"</formula>
    </cfRule>
  </conditionalFormatting>
  <conditionalFormatting sqref="K3:K9">
    <cfRule type="containsText" dxfId="6" priority="7" operator="containsText" text="Muy Alto">
      <formula>NOT(ISERROR(SEARCH(("Muy Alto"),(K3))))</formula>
    </cfRule>
  </conditionalFormatting>
  <conditionalFormatting sqref="K3:K9">
    <cfRule type="cellIs" dxfId="7" priority="8" operator="equal">
      <formula>"Medio"</formula>
    </cfRule>
  </conditionalFormatting>
  <conditionalFormatting sqref="K3:K9">
    <cfRule type="cellIs" dxfId="3" priority="9" operator="equal">
      <formula>"Bajo"</formula>
    </cfRule>
  </conditionalFormatting>
  <conditionalFormatting sqref="K3:K9">
    <cfRule type="cellIs" dxfId="8" priority="10" operator="equal">
      <formula>"Bajo"</formula>
    </cfRule>
  </conditionalFormatting>
  <conditionalFormatting sqref="K3:K9">
    <cfRule type="cellIs" dxfId="0" priority="11" operator="equal">
      <formula>"Medio"</formula>
    </cfRule>
  </conditionalFormatting>
  <conditionalFormatting sqref="K3:K9">
    <cfRule type="cellIs" dxfId="1" priority="12" operator="equal">
      <formula>"Alto"</formula>
    </cfRule>
  </conditionalFormatting>
  <conditionalFormatting sqref="K3:K9">
    <cfRule type="cellIs" dxfId="2" priority="13" operator="equal">
      <formula>"Muy Alto"</formula>
    </cfRule>
  </conditionalFormatting>
  <conditionalFormatting sqref="F7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7">
    <cfRule type="colorScale" priority="1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7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7">
    <cfRule type="colorScale" priority="1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7">
    <cfRule type="colorScale" priority="1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8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8">
    <cfRule type="colorScale" priority="2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8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8">
    <cfRule type="colorScale" priority="2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8">
    <cfRule type="colorScale" priority="23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9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9">
    <cfRule type="colorScale" priority="2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9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9">
    <cfRule type="colorScale" priority="2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9">
    <cfRule type="colorScale" priority="2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4:H5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4:H5">
    <cfRule type="colorScale" priority="3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">
    <cfRule type="colorScale" priority="3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4">
    <cfRule type="colorScale" priority="34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4">
    <cfRule type="colorScale" priority="3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5">
    <cfRule type="colorScale" priority="3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5">
    <cfRule type="colorScale" priority="39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5">
    <cfRule type="colorScale" priority="4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6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6">
    <cfRule type="colorScale" priority="4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6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6">
    <cfRule type="colorScale" priority="44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6">
    <cfRule type="colorScale" priority="4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10:K75">
    <cfRule type="cellIs" dxfId="0" priority="46" operator="equal">
      <formula>"Medio"</formula>
    </cfRule>
  </conditionalFormatting>
  <conditionalFormatting sqref="K10:K75">
    <cfRule type="cellIs" dxfId="1" priority="47" operator="equal">
      <formula>"Alto"</formula>
    </cfRule>
  </conditionalFormatting>
  <conditionalFormatting sqref="K10:K75">
    <cfRule type="cellIs" dxfId="2" priority="48" operator="equal">
      <formula>"Muy Alto"</formula>
    </cfRule>
  </conditionalFormatting>
  <conditionalFormatting sqref="K10:K75">
    <cfRule type="cellIs" dxfId="3" priority="49" operator="equal">
      <formula>"Bajo "</formula>
    </cfRule>
  </conditionalFormatting>
  <conditionalFormatting sqref="K10:K75">
    <cfRule type="expression" dxfId="4" priority="50">
      <formula>"Muy Alto"</formula>
    </cfRule>
  </conditionalFormatting>
  <conditionalFormatting sqref="K10:K75">
    <cfRule type="cellIs" dxfId="5" priority="51" operator="equal">
      <formula>"Alto"</formula>
    </cfRule>
  </conditionalFormatting>
  <conditionalFormatting sqref="K10:K75">
    <cfRule type="containsText" dxfId="6" priority="52" operator="containsText" text="Muy Alto">
      <formula>NOT(ISERROR(SEARCH(("Muy Alto"),(K10))))</formula>
    </cfRule>
  </conditionalFormatting>
  <conditionalFormatting sqref="K10:K75">
    <cfRule type="cellIs" dxfId="7" priority="53" operator="equal">
      <formula>"Medio"</formula>
    </cfRule>
  </conditionalFormatting>
  <conditionalFormatting sqref="K10:K75">
    <cfRule type="cellIs" dxfId="3" priority="54" operator="equal">
      <formula>"Bajo"</formula>
    </cfRule>
  </conditionalFormatting>
  <conditionalFormatting sqref="K10:K75">
    <cfRule type="cellIs" dxfId="8" priority="55" operator="equal">
      <formula>"Bajo"</formula>
    </cfRule>
  </conditionalFormatting>
  <conditionalFormatting sqref="K10:K75">
    <cfRule type="cellIs" dxfId="0" priority="56" operator="equal">
      <formula>"Medio"</formula>
    </cfRule>
  </conditionalFormatting>
  <conditionalFormatting sqref="K10:K75">
    <cfRule type="cellIs" dxfId="1" priority="57" operator="equal">
      <formula>"Alto"</formula>
    </cfRule>
  </conditionalFormatting>
  <conditionalFormatting sqref="K10:K75">
    <cfRule type="cellIs" dxfId="2" priority="58" operator="equal">
      <formula>"Muy Alto"</formula>
    </cfRule>
  </conditionalFormatting>
  <conditionalFormatting sqref="F10:F75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0:K75">
    <cfRule type="colorScale" priority="6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10:H7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10:H75">
    <cfRule type="colorScale" priority="6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10:K75">
    <cfRule type="colorScale" priority="63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dataValidations>
    <dataValidation type="list" allowBlank="1" showErrorMessage="1" sqref="C3:C85">
      <formula1>"Calendario,Alcanse,Tecnico,Calidad,Operacional,Recursos,Regulatorio,Legal,Entorno/Externo,Costo/Financiero,Requisitos,Seguridad,Integracion,Comunicacion,Infraestructura,Gestion"</formula1>
    </dataValidation>
    <dataValidation type="list" allowBlank="1" showErrorMessage="1" sqref="G3 G5:G75">
      <formula1>$J$79:$J$83</formula1>
    </dataValidation>
    <dataValidation type="list" allowBlank="1" showErrorMessage="1" sqref="H4">
      <formula1>$K$78:$K$82</formula1>
    </dataValidation>
    <dataValidation type="list" allowBlank="1" showErrorMessage="1" sqref="H3 H5:H75">
      <formula1>$K$79:$K$83</formula1>
    </dataValidation>
    <dataValidation type="list" allowBlank="1" showErrorMessage="1" sqref="O4">
      <formula1>$R$78:$R$81</formula1>
    </dataValidation>
    <dataValidation type="list" allowBlank="1" showErrorMessage="1" sqref="O3 O5:O75">
      <formula1>$R$79:$R$82</formula1>
    </dataValidation>
    <dataValidation type="list" allowBlank="1" showErrorMessage="1" sqref="F3 F5:F75">
      <formula1>$I$79:$I$82</formula1>
    </dataValidation>
    <dataValidation type="list" allowBlank="1" showErrorMessage="1" sqref="G4">
      <formula1>$J$78:$J$82</formula1>
    </dataValidation>
    <dataValidation type="list" allowBlank="1" showErrorMessage="1" sqref="F4">
      <formula1>$I$78:$I$81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16" t="s">
        <v>8</v>
      </c>
      <c r="E4" s="117"/>
      <c r="F4" s="117"/>
      <c r="G4" s="117"/>
      <c r="H4" s="3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18" t="s">
        <v>7</v>
      </c>
      <c r="D5" s="119" t="s">
        <v>369</v>
      </c>
      <c r="E5" s="119" t="s">
        <v>11</v>
      </c>
      <c r="F5" s="119" t="s">
        <v>9</v>
      </c>
      <c r="G5" s="119" t="s">
        <v>4</v>
      </c>
      <c r="H5" s="119" t="s">
        <v>133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20" t="s">
        <v>133</v>
      </c>
      <c r="D6" s="121" t="s">
        <v>9</v>
      </c>
      <c r="E6" s="122" t="s">
        <v>4</v>
      </c>
      <c r="F6" s="122" t="s">
        <v>4</v>
      </c>
      <c r="G6" s="123" t="s">
        <v>133</v>
      </c>
      <c r="H6" s="123" t="s">
        <v>133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20" t="s">
        <v>4</v>
      </c>
      <c r="D7" s="121" t="s">
        <v>9</v>
      </c>
      <c r="E7" s="121" t="s">
        <v>9</v>
      </c>
      <c r="F7" s="122" t="s">
        <v>4</v>
      </c>
      <c r="G7" s="123" t="s">
        <v>133</v>
      </c>
      <c r="H7" s="123" t="s">
        <v>133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20" t="s">
        <v>9</v>
      </c>
      <c r="D8" s="124" t="s">
        <v>11</v>
      </c>
      <c r="E8" s="121" t="s">
        <v>9</v>
      </c>
      <c r="F8" s="122" t="s">
        <v>4</v>
      </c>
      <c r="G8" s="122" t="s">
        <v>4</v>
      </c>
      <c r="H8" s="123" t="s">
        <v>133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20" t="s">
        <v>11</v>
      </c>
      <c r="D9" s="124" t="s">
        <v>11</v>
      </c>
      <c r="E9" s="124" t="s">
        <v>11</v>
      </c>
      <c r="F9" s="121" t="s">
        <v>9</v>
      </c>
      <c r="G9" s="122" t="s">
        <v>4</v>
      </c>
      <c r="H9" s="122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20" t="s">
        <v>369</v>
      </c>
      <c r="D10" s="124" t="s">
        <v>11</v>
      </c>
      <c r="E10" s="124" t="s">
        <v>11</v>
      </c>
      <c r="F10" s="121" t="s">
        <v>9</v>
      </c>
      <c r="G10" s="121" t="s">
        <v>9</v>
      </c>
      <c r="H10" s="122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D4" s="116" t="s">
        <v>8</v>
      </c>
      <c r="E4" s="117"/>
      <c r="F4" s="117"/>
      <c r="G4" s="117"/>
      <c r="H4" s="32"/>
    </row>
    <row r="5">
      <c r="C5" s="118" t="s">
        <v>7</v>
      </c>
      <c r="D5" s="119" t="s">
        <v>369</v>
      </c>
      <c r="E5" s="119" t="s">
        <v>371</v>
      </c>
      <c r="F5" s="119" t="s">
        <v>9</v>
      </c>
      <c r="G5" s="119" t="s">
        <v>4</v>
      </c>
      <c r="H5" s="119" t="s">
        <v>133</v>
      </c>
    </row>
    <row r="6">
      <c r="C6" s="120" t="s">
        <v>133</v>
      </c>
      <c r="D6" s="121" t="s">
        <v>9</v>
      </c>
      <c r="E6" s="122" t="s">
        <v>4</v>
      </c>
      <c r="F6" s="122" t="s">
        <v>4</v>
      </c>
      <c r="G6" s="123" t="s">
        <v>133</v>
      </c>
      <c r="H6" s="123" t="s">
        <v>133</v>
      </c>
    </row>
    <row r="7">
      <c r="C7" s="120" t="s">
        <v>4</v>
      </c>
      <c r="D7" s="121" t="s">
        <v>9</v>
      </c>
      <c r="E7" s="121" t="s">
        <v>9</v>
      </c>
      <c r="F7" s="122" t="s">
        <v>4</v>
      </c>
      <c r="G7" s="123" t="s">
        <v>133</v>
      </c>
      <c r="H7" s="123" t="s">
        <v>133</v>
      </c>
    </row>
    <row r="8">
      <c r="C8" s="120" t="s">
        <v>9</v>
      </c>
      <c r="D8" s="124" t="s">
        <v>11</v>
      </c>
      <c r="E8" s="121" t="s">
        <v>9</v>
      </c>
      <c r="F8" s="122" t="s">
        <v>4</v>
      </c>
      <c r="G8" s="122" t="s">
        <v>4</v>
      </c>
      <c r="H8" s="123" t="s">
        <v>133</v>
      </c>
    </row>
    <row r="9">
      <c r="C9" s="120" t="s">
        <v>11</v>
      </c>
      <c r="D9" s="124" t="s">
        <v>11</v>
      </c>
      <c r="E9" s="124" t="s">
        <v>11</v>
      </c>
      <c r="F9" s="121" t="s">
        <v>9</v>
      </c>
      <c r="G9" s="122" t="s">
        <v>4</v>
      </c>
      <c r="H9" s="122" t="s">
        <v>4</v>
      </c>
    </row>
    <row r="10">
      <c r="C10" s="120" t="s">
        <v>369</v>
      </c>
      <c r="D10" s="124" t="s">
        <v>11</v>
      </c>
      <c r="E10" s="124" t="s">
        <v>11</v>
      </c>
      <c r="F10" s="121" t="s">
        <v>9</v>
      </c>
      <c r="G10" s="121" t="s">
        <v>9</v>
      </c>
      <c r="H10" s="12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2012-02-15T17:56:08Z</dcterms:created>
  <dc:creator>SNP</dc:creator>
</cp:coreProperties>
</file>